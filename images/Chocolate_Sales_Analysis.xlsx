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pivotTables/pivotTable8.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Excel by Chandoo\"/>
    </mc:Choice>
  </mc:AlternateContent>
  <xr:revisionPtr revIDLastSave="0" documentId="13_ncr:1_{FD52D7E9-A4B2-409F-BC05-5547DEA6BB3D}" xr6:coauthVersionLast="47" xr6:coauthVersionMax="47" xr10:uidLastSave="{00000000-0000-0000-0000-000000000000}"/>
  <bookViews>
    <workbookView xWindow="-108" yWindow="-108" windowWidth="23256" windowHeight="12456" firstSheet="3" activeTab="10" xr2:uid="{26D4546B-D2A1-4444-8EAF-A6228F96F0C1}"/>
  </bookViews>
  <sheets>
    <sheet name="Data" sheetId="1" r:id="rId1"/>
    <sheet name="QUES 1" sheetId="2" r:id="rId2"/>
    <sheet name="QUES 2" sheetId="4" r:id="rId3"/>
    <sheet name="QUES 3" sheetId="5" r:id="rId4"/>
    <sheet name="Ques 4" sheetId="7" r:id="rId5"/>
    <sheet name="Ques 5" sheetId="9" r:id="rId6"/>
    <sheet name="QUES 6" sheetId="10" r:id="rId7"/>
    <sheet name="QUES 7" sheetId="11" r:id="rId8"/>
    <sheet name="Ques 8" sheetId="12" r:id="rId9"/>
    <sheet name="Ques 9" sheetId="15" r:id="rId10"/>
    <sheet name="Ques 10" sheetId="17" r:id="rId11"/>
  </sheets>
  <definedNames>
    <definedName name="_xlnm._FilterDatabase" localSheetId="0" hidden="1">Data!$C$5:$G$5</definedName>
    <definedName name="_xlnm._FilterDatabase" localSheetId="3" hidden="1">'QUES 3'!$H$7:$K$13</definedName>
    <definedName name="_xlchart.v1.0" hidden="1">'QUES 6'!$P$5:$P$304</definedName>
    <definedName name="_xlchart.v1.1" hidden="1">'QUES 6'!$R$5:$R$304</definedName>
    <definedName name="_xlchart.v1.2" hidden="1">'QUES 6'!$R$5:$R$304</definedName>
    <definedName name="_xlcn.WorksheetConnection_beginnerDAcourseblank.xlsxdata1" hidden="1">data[]</definedName>
    <definedName name="Slicer_Geography">#N/A</definedName>
    <definedName name="Slicer_Geography1">#N/A</definedName>
    <definedName name="Slicer_Sales_Person">#N/A</definedName>
  </definedNames>
  <calcPr calcId="191029"/>
  <pivotCaches>
    <pivotCache cacheId="0" r:id="rId12"/>
    <pivotCache cacheId="1" r:id="rId13"/>
    <pivotCache cacheId="3" r:id="rId14"/>
    <pivotCache cacheId="4" r:id="rId15"/>
    <pivotCache cacheId="5" r:id="rId16"/>
    <pivotCache cacheId="12" r:id="rId17"/>
  </pivotCaches>
  <extLst>
    <ext xmlns:x14="http://schemas.microsoft.com/office/spreadsheetml/2009/9/main" uri="{876F7934-8845-4945-9796-88D515C7AA90}">
      <x14:pivotCaches>
        <pivotCache cacheId="6"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eginner-DA-course-blank.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2" l="1"/>
  <c r="E18" i="2"/>
  <c r="E19" i="2"/>
  <c r="D5" i="2"/>
  <c r="D6" i="2"/>
  <c r="E21" i="15"/>
  <c r="E18" i="15"/>
  <c r="K14" i="15"/>
  <c r="K15" i="15"/>
  <c r="J21" i="15"/>
  <c r="L21" i="15" s="1"/>
  <c r="J20" i="15"/>
  <c r="L20" i="15" s="1"/>
  <c r="J19" i="15"/>
  <c r="L19" i="15" s="1"/>
  <c r="J18" i="15"/>
  <c r="L18" i="15" s="1"/>
  <c r="J17" i="15"/>
  <c r="L17" i="15" s="1"/>
  <c r="J16" i="15"/>
  <c r="L16" i="15" s="1"/>
  <c r="J15" i="15"/>
  <c r="L15" i="15" s="1"/>
  <c r="J14" i="15"/>
  <c r="L14" i="15" s="1"/>
  <c r="J13" i="15"/>
  <c r="L13" i="15" s="1"/>
  <c r="J12" i="15"/>
  <c r="L12" i="15" s="1"/>
  <c r="K12" i="15"/>
  <c r="K16" i="15"/>
  <c r="K17" i="15"/>
  <c r="K18" i="15"/>
  <c r="K19" i="15"/>
  <c r="K20" i="15"/>
  <c r="K21" i="15"/>
  <c r="K13" i="15"/>
  <c r="F14" i="15" l="1"/>
  <c r="F18" i="15" s="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J9" i="5"/>
  <c r="J10" i="5"/>
  <c r="J11" i="5"/>
  <c r="J12" i="5"/>
  <c r="J13" i="5"/>
  <c r="J8" i="5"/>
  <c r="B8" i="5" a="1"/>
  <c r="B8" i="5" s="1"/>
  <c r="F22" i="2"/>
  <c r="D12" i="2"/>
  <c r="D19" i="2"/>
  <c r="D18" i="2"/>
  <c r="E13" i="2"/>
  <c r="E14" i="2"/>
  <c r="D14" i="2"/>
  <c r="E12" i="2"/>
  <c r="E11" i="2"/>
  <c r="D11" i="2"/>
  <c r="E19" i="15" l="1"/>
  <c r="E20" i="15" s="1"/>
  <c r="F20" i="15" s="1"/>
  <c r="F21" i="15"/>
  <c r="D15" i="2"/>
  <c r="E15" i="2"/>
  <c r="D11" i="5"/>
  <c r="D9" i="5"/>
  <c r="D10" i="5"/>
  <c r="C9" i="5"/>
  <c r="C11" i="5"/>
  <c r="C12" i="5"/>
  <c r="C13" i="5"/>
  <c r="C10" i="5"/>
  <c r="D13" i="5"/>
  <c r="D12" i="5"/>
  <c r="D8" i="5"/>
  <c r="C8" i="5"/>
  <c r="F19" i="1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B8F422-C98D-4DA2-99A4-D26D18AD1B9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4F1889A-E8C5-42F7-9A10-6500302C3D5C}" name="WorksheetConnection_beginner-DA-course-blank.xlsx!data" type="102" refreshedVersion="7" minRefreshableVersion="5">
    <extLst>
      <ext xmlns:x15="http://schemas.microsoft.com/office/spreadsheetml/2010/11/main" uri="{DE250136-89BD-433C-8126-D09CA5730AF9}">
        <x15:connection id="data" autoDelete="1">
          <x15:rangePr sourceName="_xlcn.WorksheetConnection_beginnerDAcourseblank.xlsx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<sst xmlns="http://schemas.openxmlformats.org/spreadsheetml/2006/main" count="4826" uniqueCount="142">
  <si>
    <t>Product</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</si>
  <si>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</si>
  <si>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</si>
  <si>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</si>
  <si>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</si>
  <si>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</si>
  <si>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</si>
  <si>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</si>
  <si>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</si>
  <si>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</si>
  <si>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</si>
  <si>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</si>
  <si>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</si>
  <si>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</si>
  <si>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</si>
  <si>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</si>
  <si>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</si>
  <si>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</si>
  <si>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</si>
  <si>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</si>
  <si>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</si>
  <si>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</si>
  <si>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</si>
  <si>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</si>
  <si>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</si>
  <si>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</si>
  <si>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</si>
  <si>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</si>
  <si>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</si>
  <si>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</si>
  <si>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</si>
  <si>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</si>
  <si>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</si>
  <si>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</si>
  <si>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</si>
  <si>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</si>
  <si>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</si>
  <si>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</si>
  <si>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</si>
  <si>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</si>
  <si>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</si>
  <si>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</si>
  <si>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Questions</t>
  </si>
  <si>
    <t>Units</t>
  </si>
  <si>
    <t>Cost per unit</t>
  </si>
  <si>
    <t>Avg Unit</t>
  </si>
  <si>
    <t>Avg Amount</t>
  </si>
  <si>
    <t>Average</t>
  </si>
  <si>
    <t>Median</t>
  </si>
  <si>
    <t>Min</t>
  </si>
  <si>
    <t>Max</t>
  </si>
  <si>
    <t>Range</t>
  </si>
  <si>
    <t>First Q</t>
  </si>
  <si>
    <t>Second Q</t>
  </si>
  <si>
    <t xml:space="preserve">Diatinct count of products </t>
  </si>
  <si>
    <t>* Applying Colour scale based on Volume of Numbers (Amount)</t>
  </si>
  <si>
    <t>* Exploring the Units by applying Conditional Formatting (Bars)</t>
  </si>
  <si>
    <t>* Highlighting top 10 items(Amount)</t>
  </si>
  <si>
    <t xml:space="preserve">* Applying Colour Filtering </t>
  </si>
  <si>
    <t>* Highlighting the Duplicate Values (Repeated Units)</t>
  </si>
  <si>
    <t xml:space="preserve">  ---&gt; Here, we counted Unique Products form Data Table</t>
  </si>
  <si>
    <t xml:space="preserve">    ---&gt; Here, we checked first quarter (0.25) , 25% of Units</t>
  </si>
  <si>
    <t xml:space="preserve">    ---&gt; Similarly, 3rd Quater</t>
  </si>
  <si>
    <r>
      <rPr>
        <b/>
        <sz val="48"/>
        <color theme="1"/>
        <rFont val="Calibri"/>
        <family val="2"/>
        <scheme val="minor"/>
      </rPr>
      <t xml:space="preserve">1. </t>
    </r>
    <r>
      <rPr>
        <sz val="48"/>
        <color theme="1"/>
        <rFont val="Calibri Light"/>
        <family val="2"/>
        <scheme val="major"/>
      </rPr>
      <t>Quick statistics</t>
    </r>
  </si>
  <si>
    <t>Country</t>
  </si>
  <si>
    <t xml:space="preserve"> </t>
  </si>
  <si>
    <t>HERE,</t>
  </si>
  <si>
    <t>Here,</t>
  </si>
  <si>
    <t>FINAL:</t>
  </si>
  <si>
    <t>INITIAL:</t>
  </si>
  <si>
    <t>* Simplified Sales by country</t>
  </si>
  <si>
    <t>* We modified it, by applying Filters, Visual Bars, Attractive Borders etc</t>
  </si>
  <si>
    <r>
      <t xml:space="preserve">* </t>
    </r>
    <r>
      <rPr>
        <b/>
        <i/>
        <sz val="11"/>
        <color theme="1"/>
        <rFont val="Calibri"/>
        <family val="2"/>
        <scheme val="minor"/>
      </rPr>
      <t>Sumifs Formula</t>
    </r>
    <r>
      <rPr>
        <sz val="11"/>
        <color theme="1"/>
        <rFont val="Calibri"/>
        <family val="2"/>
        <scheme val="minor"/>
      </rPr>
      <t xml:space="preserve"> used to Add Amount in the respected Country</t>
    </r>
  </si>
  <si>
    <r>
      <t xml:space="preserve">* </t>
    </r>
    <r>
      <rPr>
        <b/>
        <i/>
        <sz val="11"/>
        <color theme="1"/>
        <rFont val="Calibri"/>
        <family val="2"/>
        <scheme val="minor"/>
      </rPr>
      <t>Unique Formula</t>
    </r>
    <r>
      <rPr>
        <sz val="11"/>
        <color theme="1"/>
        <rFont val="Calibri"/>
        <family val="2"/>
        <scheme val="minor"/>
      </rPr>
      <t xml:space="preserve"> used to select unique country names</t>
    </r>
  </si>
  <si>
    <r>
      <rPr>
        <b/>
        <sz val="36"/>
        <color theme="1"/>
        <rFont val="Calibri Light"/>
        <family val="2"/>
        <scheme val="major"/>
      </rPr>
      <t>3.</t>
    </r>
    <r>
      <rPr>
        <sz val="36"/>
        <color theme="1"/>
        <rFont val="Calibri Light"/>
        <family val="2"/>
        <scheme val="major"/>
      </rPr>
      <t xml:space="preserve"> Sales by country (with formulas)</t>
    </r>
  </si>
  <si>
    <r>
      <t>2</t>
    </r>
    <r>
      <rPr>
        <sz val="48"/>
        <color theme="1"/>
        <rFont val="Calibri Light"/>
        <family val="2"/>
        <scheme val="major"/>
      </rPr>
      <t>. Exploratory Data Analysis (EDA) with CF</t>
    </r>
  </si>
  <si>
    <t>Row Labels</t>
  </si>
  <si>
    <t>Grand Total</t>
  </si>
  <si>
    <t>Sum of Amount</t>
  </si>
  <si>
    <t>Sum of Units</t>
  </si>
  <si>
    <t xml:space="preserve">             </t>
  </si>
  <si>
    <r>
      <t xml:space="preserve">4. </t>
    </r>
    <r>
      <rPr>
        <sz val="36"/>
        <color theme="1"/>
        <rFont val="Calibri Light"/>
        <family val="2"/>
        <scheme val="major"/>
      </rPr>
      <t>Sales by country (with pivots)</t>
    </r>
  </si>
  <si>
    <t>Cost per Unit</t>
  </si>
  <si>
    <t>Final:</t>
  </si>
  <si>
    <t>* Using measure feature of pivot table,  We Added Measure formula.</t>
  </si>
  <si>
    <t>* We applided Filters and removed Unvanted Values</t>
  </si>
  <si>
    <t>* Hence, we get clean result</t>
  </si>
  <si>
    <t>Initial:</t>
  </si>
  <si>
    <r>
      <rPr>
        <b/>
        <sz val="36"/>
        <color theme="1"/>
        <rFont val="Calibri"/>
        <family val="2"/>
        <scheme val="minor"/>
      </rPr>
      <t>5.</t>
    </r>
    <r>
      <rPr>
        <sz val="36"/>
        <color theme="1"/>
        <rFont val="Calibri"/>
        <family val="2"/>
        <scheme val="minor"/>
      </rPr>
      <t xml:space="preserve"> </t>
    </r>
    <r>
      <rPr>
        <sz val="36"/>
        <color theme="1"/>
        <rFont val="Calibri Light"/>
        <family val="2"/>
        <scheme val="major"/>
      </rPr>
      <t>Top 5 products by $ per unit</t>
    </r>
  </si>
  <si>
    <r>
      <rPr>
        <b/>
        <u/>
        <sz val="11"/>
        <color theme="1"/>
        <rFont val="Calibri"/>
        <family val="2"/>
        <scheme val="minor"/>
      </rPr>
      <t>Method 1</t>
    </r>
    <r>
      <rPr>
        <sz val="11"/>
        <color theme="1"/>
        <rFont val="Calibri"/>
        <family val="2"/>
        <scheme val="minor"/>
      </rPr>
      <t xml:space="preserve"> (Using Scatterplot): </t>
    </r>
  </si>
  <si>
    <r>
      <rPr>
        <b/>
        <u/>
        <sz val="11"/>
        <color theme="1"/>
        <rFont val="Calibri"/>
        <family val="2"/>
        <scheme val="minor"/>
      </rPr>
      <t>Method 2</t>
    </r>
    <r>
      <rPr>
        <sz val="11"/>
        <color theme="1"/>
        <rFont val="Calibri"/>
        <family val="2"/>
        <scheme val="minor"/>
      </rPr>
      <t xml:space="preserve"> (Box &amp; Whisker):</t>
    </r>
  </si>
  <si>
    <t xml:space="preserve">* Now, We can correct them or remove them further. </t>
  </si>
  <si>
    <t>* We are Visually Spotting Anomalies.</t>
  </si>
  <si>
    <r>
      <rPr>
        <b/>
        <sz val="36"/>
        <color theme="1"/>
        <rFont val="Calibri"/>
        <family val="2"/>
        <scheme val="minor"/>
      </rPr>
      <t xml:space="preserve">6. </t>
    </r>
    <r>
      <rPr>
        <sz val="36"/>
        <color theme="1"/>
        <rFont val="Calibri"/>
        <family val="2"/>
        <scheme val="minor"/>
      </rPr>
      <t>Are there any Anomalies in the data?</t>
    </r>
  </si>
  <si>
    <r>
      <t xml:space="preserve">* </t>
    </r>
    <r>
      <rPr>
        <b/>
        <i/>
        <u/>
        <sz val="18"/>
        <color theme="1"/>
        <rFont val="Calibri"/>
        <family val="2"/>
        <scheme val="minor"/>
      </rPr>
      <t>Best Sales Person</t>
    </r>
    <r>
      <rPr>
        <b/>
        <i/>
        <sz val="18"/>
        <color theme="1"/>
        <rFont val="Calibri"/>
        <family val="2"/>
        <scheme val="minor"/>
      </rPr>
      <t>:</t>
    </r>
  </si>
  <si>
    <r>
      <t xml:space="preserve">* </t>
    </r>
    <r>
      <rPr>
        <b/>
        <i/>
        <u/>
        <sz val="18"/>
        <color theme="1"/>
        <rFont val="Calibri"/>
        <family val="2"/>
        <scheme val="minor"/>
      </rPr>
      <t>Worst Sales Person</t>
    </r>
    <r>
      <rPr>
        <b/>
        <i/>
        <sz val="18"/>
        <color theme="1"/>
        <rFont val="Calibri"/>
        <family val="2"/>
        <scheme val="minor"/>
      </rPr>
      <t>:</t>
    </r>
  </si>
  <si>
    <r>
      <t xml:space="preserve">   7. </t>
    </r>
    <r>
      <rPr>
        <sz val="44"/>
        <color theme="1"/>
        <rFont val="Calibri Light"/>
        <family val="2"/>
        <scheme val="major"/>
      </rPr>
      <t>Best Sales person by Country</t>
    </r>
  </si>
  <si>
    <t>Cost</t>
  </si>
  <si>
    <t>Excel for Data Analysis</t>
  </si>
  <si>
    <r>
      <rPr>
        <sz val="36"/>
        <color theme="1"/>
        <rFont val="Calibri"/>
        <family val="2"/>
        <scheme val="minor"/>
      </rPr>
      <t xml:space="preserve">8. </t>
    </r>
    <r>
      <rPr>
        <sz val="36"/>
        <color theme="1"/>
        <rFont val="Calibri Light"/>
        <family val="2"/>
        <scheme val="major"/>
      </rPr>
      <t>Profits by product (using products table)</t>
    </r>
  </si>
  <si>
    <t>Price per Unit</t>
  </si>
  <si>
    <t>Sum of Cost</t>
  </si>
  <si>
    <t>Profit</t>
  </si>
  <si>
    <t>Total Profit</t>
  </si>
  <si>
    <r>
      <rPr>
        <sz val="36"/>
        <color theme="1"/>
        <rFont val="Calibri"/>
        <family val="2"/>
        <scheme val="minor"/>
      </rPr>
      <t xml:space="preserve">9. </t>
    </r>
    <r>
      <rPr>
        <sz val="36"/>
        <color theme="1"/>
        <rFont val="Calibri Light"/>
        <family val="2"/>
        <scheme val="major"/>
      </rPr>
      <t>Dynamic country-level Sales Report</t>
    </r>
  </si>
  <si>
    <t>Countries</t>
  </si>
  <si>
    <t>Number of transactions</t>
  </si>
  <si>
    <t>Total</t>
  </si>
  <si>
    <t>Sales</t>
  </si>
  <si>
    <t>Quantity</t>
  </si>
  <si>
    <t xml:space="preserve">                     </t>
  </si>
  <si>
    <t xml:space="preserve">Quick Summary                                                   </t>
  </si>
  <si>
    <t xml:space="preserve">By Sales Person                                                                   </t>
  </si>
  <si>
    <t xml:space="preserve">Pick a Country   </t>
  </si>
  <si>
    <t>✅ ❎</t>
  </si>
  <si>
    <t>Name</t>
  </si>
  <si>
    <r>
      <t>10.</t>
    </r>
    <r>
      <rPr>
        <sz val="36"/>
        <color theme="1"/>
        <rFont val="Calibri Light"/>
        <family val="2"/>
        <scheme val="major"/>
      </rPr>
      <t xml:space="preserve"> Which products to discontinue?</t>
    </r>
  </si>
  <si>
    <t>* Product Sales $</t>
  </si>
  <si>
    <t>* Product Cost $</t>
  </si>
  <si>
    <t>* Units Sold</t>
  </si>
  <si>
    <t>* Profit $</t>
  </si>
  <si>
    <t>Profit %</t>
  </si>
  <si>
    <r>
      <rPr>
        <b/>
        <i/>
        <sz val="11"/>
        <color theme="1"/>
        <rFont val="Calibri"/>
        <family val="2"/>
        <scheme val="minor"/>
      </rPr>
      <t>We find Conclusion by</t>
    </r>
    <r>
      <rPr>
        <b/>
        <sz val="11"/>
        <color theme="1"/>
        <rFont val="Calibri"/>
        <family val="2"/>
        <scheme val="minor"/>
      </rPr>
      <t xml:space="preserve"> </t>
    </r>
    <r>
      <rPr>
        <b/>
        <i/>
        <sz val="11"/>
        <color theme="1"/>
        <rFont val="Calibri"/>
        <family val="2"/>
        <scheme val="minor"/>
      </rPr>
      <t>:</t>
    </r>
  </si>
  <si>
    <t>Now,</t>
  </si>
  <si>
    <t>* We can Analyse product Profit % w.r.t. Geography</t>
  </si>
  <si>
    <t>* This helps us to Analyse Which product need to Discontinue in Which Country</t>
  </si>
  <si>
    <r>
      <rPr>
        <b/>
        <i/>
        <sz val="16"/>
        <color theme="1"/>
        <rFont val="Arial"/>
        <family val="2"/>
      </rPr>
      <t>GIVEN:</t>
    </r>
    <r>
      <rPr>
        <sz val="16"/>
        <rFont val="Arial"/>
        <family val="2"/>
      </rPr>
      <t xml:space="preserve"> </t>
    </r>
    <r>
      <rPr>
        <i/>
        <u/>
        <sz val="16"/>
        <color theme="1"/>
        <rFont val="Arial"/>
        <family val="2"/>
      </rPr>
      <t>Chocolate Manufacturing &amp; Distribution Industry Data</t>
    </r>
    <r>
      <rPr>
        <i/>
        <sz val="16"/>
        <color theme="1"/>
        <rFont val="Arial"/>
        <family val="2"/>
      </rPr>
      <t>:</t>
    </r>
  </si>
  <si>
    <t xml:space="preserve">  9.   Dynamic country-level Sales Report</t>
  </si>
  <si>
    <t xml:space="preserve">  7.   Best Sales person by country</t>
  </si>
  <si>
    <t xml:space="preserve">  6.   Are there any anomalies in the data?</t>
  </si>
  <si>
    <t xml:space="preserve">  5.   Top 5 products by $ per unit</t>
  </si>
  <si>
    <t xml:space="preserve">  4.   Sales by country (with pivots)</t>
  </si>
  <si>
    <t xml:space="preserve">  3.   Sales by country (with formulas)</t>
  </si>
  <si>
    <t xml:space="preserve">  2.   Exploratory Data Analysis (EDA) with CF</t>
  </si>
  <si>
    <t xml:space="preserve">  1.   Quick statistics</t>
  </si>
  <si>
    <t>10.  Which products to discontinue?</t>
  </si>
  <si>
    <t xml:space="preserve">  8.   Profits by product (using products table) </t>
  </si>
  <si>
    <t>Table 1:</t>
  </si>
  <si>
    <t>Table 2:</t>
  </si>
  <si>
    <r>
      <rPr>
        <b/>
        <sz val="12"/>
        <color theme="1"/>
        <rFont val="Calibri"/>
        <family val="2"/>
        <scheme val="minor"/>
      </rPr>
      <t xml:space="preserve"># </t>
    </r>
    <r>
      <rPr>
        <b/>
        <i/>
        <u/>
        <sz val="12"/>
        <color theme="1"/>
        <rFont val="Calibri"/>
        <family val="2"/>
        <scheme val="minor"/>
      </rPr>
      <t>Stakeholders may have the following business questions</t>
    </r>
    <r>
      <rPr>
        <b/>
        <i/>
        <sz val="12"/>
        <color theme="1"/>
        <rFont val="Calibri"/>
        <family val="2"/>
        <scheme val="minor"/>
      </rPr>
      <t>:</t>
    </r>
  </si>
  <si>
    <t>Final Table:</t>
  </si>
  <si>
    <t>Outlier 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</si>
</sst>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quot;$&quot;#,##0_);[Red]\(&quot;$&quot;#,##0\)"/>
    <numFmt numFmtId="165" formatCode="&quot;$&quot;#,##0.00_);[Red]\(&quot;$&quot;#,##0.00\)"/>
    <numFmt numFmtId="166" formatCode="[$$-409]#,##0"/>
    <numFmt numFmtId="167" formatCode="_-[$$-409]* #,##0.00_ ;_-[$$-409]* \-#,##0.00\ ;_-[$$-409]* &quot;-&quot;??_ ;_-@_ "/>
    <numFmt numFmtId="168" formatCode="_ * #,##0_ ;_ * \-#,##0_ ;_ * &quot;-&quot;??_ ;_ @_ "/>
    <numFmt numFmtId="169" formatCode="\$#,##0;\(\$#,##0\);\$#,##0"/>
    <numFmt numFmtId="170" formatCode="\$#,##0.00;\(\$#,##0.00\);\$#,##0.00"/>
    <numFmt numFmtId="171" formatCode="[$$-409]#,##0_ ;\-[$$-409]#,##0\ "/>
    <numFmt numFmtId="172" formatCode="0.0%;\-0.0%;0.0%"/>
    <numFmt numFmtId="173" formatCode="#,##0\ [$$-C0C]"/>
  </numFmts>
  <fonts count="32" x14ac:knownFonts="1">
    <font>
      <sz val="11"/>
      <color theme="1"/>
      <name val="Calibri"/>
      <family val="2"/>
      <scheme val="minor"/>
    </font>
    <font>
      <b/>
      <sz val="11"/>
      <color theme="1"/>
      <name val="Calibri"/>
      <family val="2"/>
      <scheme val="minor"/>
    </font>
    <font>
      <b/>
      <sz val="48"/>
      <color theme="1"/>
      <name val="Calibri"/>
      <family val="2"/>
      <scheme val="minor"/>
    </font>
    <font>
      <sz val="18"/>
      <color theme="1"/>
      <name val="Calibri"/>
      <family val="2"/>
      <scheme val="minor"/>
    </font>
    <font>
      <sz val="20"/>
      <color theme="1"/>
      <name val="Calibri"/>
      <family val="2"/>
      <scheme val="minor"/>
    </font>
    <font>
      <sz val="22"/>
      <color theme="1"/>
      <name val="Calibri"/>
      <family val="2"/>
      <scheme val="minor"/>
    </font>
    <font>
      <sz val="48"/>
      <color theme="1"/>
      <name val="Calibri"/>
      <family val="2"/>
      <scheme val="minor"/>
    </font>
    <font>
      <sz val="48"/>
      <color theme="1"/>
      <name val="Calibri Light"/>
      <family val="2"/>
      <scheme val="major"/>
    </font>
    <font>
      <b/>
      <i/>
      <sz val="11"/>
      <color theme="1"/>
      <name val="Calibri"/>
      <family val="2"/>
      <scheme val="minor"/>
    </font>
    <font>
      <b/>
      <sz val="36"/>
      <color theme="1"/>
      <name val="Calibri Light"/>
      <family val="2"/>
      <scheme val="major"/>
    </font>
    <font>
      <sz val="36"/>
      <color theme="1"/>
      <name val="Calibri Light"/>
      <family val="2"/>
      <scheme val="major"/>
    </font>
    <font>
      <sz val="36"/>
      <color theme="1"/>
      <name val="Calibri"/>
      <family val="2"/>
      <scheme val="minor"/>
    </font>
    <font>
      <u/>
      <sz val="11"/>
      <color theme="1"/>
      <name val="Calibri"/>
      <family val="2"/>
      <scheme val="minor"/>
    </font>
    <font>
      <b/>
      <sz val="12"/>
      <color theme="1"/>
      <name val="Calibri"/>
      <family val="2"/>
      <scheme val="minor"/>
    </font>
    <font>
      <b/>
      <sz val="36"/>
      <color theme="1"/>
      <name val="Calibri"/>
      <family val="2"/>
      <scheme val="minor"/>
    </font>
    <font>
      <b/>
      <sz val="16"/>
      <color theme="1"/>
      <name val="Calibri"/>
      <family val="2"/>
      <scheme val="minor"/>
    </font>
    <font>
      <b/>
      <u/>
      <sz val="11"/>
      <color theme="1"/>
      <name val="Calibri"/>
      <family val="2"/>
      <scheme val="minor"/>
    </font>
    <font>
      <b/>
      <sz val="18"/>
      <color theme="1"/>
      <name val="Calibri"/>
      <family val="2"/>
      <scheme val="minor"/>
    </font>
    <font>
      <b/>
      <i/>
      <sz val="18"/>
      <color theme="1"/>
      <name val="Calibri"/>
      <family val="2"/>
      <scheme val="minor"/>
    </font>
    <font>
      <b/>
      <i/>
      <u/>
      <sz val="18"/>
      <color theme="1"/>
      <name val="Calibri"/>
      <family val="2"/>
      <scheme val="minor"/>
    </font>
    <font>
      <sz val="44"/>
      <color theme="1"/>
      <name val="Calibri"/>
      <family val="2"/>
      <scheme val="minor"/>
    </font>
    <font>
      <sz val="44"/>
      <color theme="1"/>
      <name val="Calibri Light"/>
      <family val="2"/>
      <scheme val="major"/>
    </font>
    <font>
      <sz val="11"/>
      <color theme="1"/>
      <name val="Calibri"/>
      <family val="2"/>
      <scheme val="minor"/>
    </font>
    <font>
      <i/>
      <sz val="11"/>
      <name val="Calibri"/>
      <family val="2"/>
      <scheme val="minor"/>
    </font>
    <font>
      <i/>
      <sz val="16"/>
      <color theme="1"/>
      <name val="Arial"/>
      <family val="2"/>
    </font>
    <font>
      <i/>
      <u/>
      <sz val="16"/>
      <color theme="1"/>
      <name val="Arial"/>
      <family val="2"/>
    </font>
    <font>
      <b/>
      <i/>
      <sz val="16"/>
      <color theme="1"/>
      <name val="Arial"/>
      <family val="2"/>
    </font>
    <font>
      <sz val="16"/>
      <name val="Arial"/>
      <family val="2"/>
    </font>
    <font>
      <u/>
      <sz val="28"/>
      <color theme="1"/>
      <name val="Rockwell Extra Bold"/>
      <family val="1"/>
    </font>
    <font>
      <b/>
      <i/>
      <u/>
      <sz val="12"/>
      <color theme="1"/>
      <name val="Calibri"/>
      <family val="2"/>
      <scheme val="minor"/>
    </font>
    <font>
      <b/>
      <i/>
      <sz val="12"/>
      <color theme="1"/>
      <name val="Calibri"/>
      <family val="2"/>
      <scheme val="minor"/>
    </font>
    <font>
      <b/>
      <sz val="10"/>
      <color theme="1"/>
      <name val="Calibri Light"/>
      <family val="2"/>
      <scheme val="major"/>
    </font>
  </fonts>
  <fills count="10">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bgColor indexed="64"/>
      </patternFill>
    </fill>
    <fill>
      <patternFill patternType="solid">
        <fgColor theme="0" tint="-0.14999847407452621"/>
        <bgColor indexed="64"/>
      </patternFill>
    </fill>
  </fills>
  <borders count="28">
    <border>
      <left/>
      <right/>
      <top/>
      <bottom/>
      <diagonal/>
    </border>
    <border>
      <left/>
      <right/>
      <top style="dotted">
        <color theme="0" tint="-0.24994659260841701"/>
      </top>
      <bottom style="dotted">
        <color theme="0" tint="-0.24994659260841701"/>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right/>
      <top/>
      <bottom style="thin">
        <color indexed="64"/>
      </bottom>
      <diagonal/>
    </border>
    <border>
      <left/>
      <right/>
      <top/>
      <bottom style="hair">
        <color auto="1"/>
      </bottom>
      <diagonal/>
    </border>
    <border>
      <left/>
      <right/>
      <top style="hair">
        <color auto="1"/>
      </top>
      <bottom style="hair">
        <color auto="1"/>
      </bottom>
      <diagonal/>
    </border>
    <border>
      <left/>
      <right/>
      <top style="dashed">
        <color auto="1"/>
      </top>
      <bottom style="dashed">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s>
  <cellStyleXfs count="2">
    <xf numFmtId="0" fontId="0" fillId="0" borderId="0"/>
    <xf numFmtId="43" fontId="22" fillId="0" borderId="0" applyFont="0" applyFill="0" applyBorder="0" applyAlignment="0" applyProtection="0"/>
  </cellStyleXfs>
  <cellXfs count="101">
    <xf numFmtId="0" fontId="0" fillId="0" borderId="0" xfId="0"/>
    <xf numFmtId="0" fontId="0" fillId="2" borderId="0" xfId="0" applyFill="1"/>
    <xf numFmtId="164" fontId="0" fillId="0" borderId="0" xfId="0" applyNumberFormat="1"/>
    <xf numFmtId="3" fontId="0" fillId="0" borderId="0" xfId="0" applyNumberFormat="1"/>
    <xf numFmtId="0" fontId="1" fillId="0" borderId="0" xfId="0" applyFont="1"/>
    <xf numFmtId="0" fontId="0" fillId="0" borderId="1" xfId="0" applyBorder="1"/>
    <xf numFmtId="0" fontId="1" fillId="2" borderId="0" xfId="0" applyFont="1" applyFill="1"/>
    <xf numFmtId="0" fontId="1" fillId="0" borderId="0" xfId="0" applyFont="1" applyAlignment="1">
      <alignment horizontal="right"/>
    </xf>
    <xf numFmtId="165" fontId="0" fillId="0" borderId="0" xfId="0" applyNumberFormat="1"/>
    <xf numFmtId="0" fontId="5" fillId="0" borderId="0" xfId="0" applyFont="1"/>
    <xf numFmtId="0" fontId="3" fillId="0" borderId="0" xfId="0" applyFont="1"/>
    <xf numFmtId="0" fontId="4" fillId="0" borderId="0" xfId="0" applyFont="1"/>
    <xf numFmtId="0" fontId="0" fillId="0" borderId="0" xfId="0" applyBorder="1"/>
    <xf numFmtId="0" fontId="0" fillId="0" borderId="2" xfId="0" applyBorder="1"/>
    <xf numFmtId="0" fontId="6" fillId="0" borderId="0" xfId="0" applyFont="1"/>
    <xf numFmtId="166" fontId="0" fillId="0" borderId="0" xfId="0" applyNumberFormat="1"/>
    <xf numFmtId="0" fontId="0" fillId="3" borderId="0" xfId="0" applyFill="1"/>
    <xf numFmtId="0" fontId="0" fillId="0" borderId="3" xfId="0" applyBorder="1"/>
    <xf numFmtId="166" fontId="0" fillId="0" borderId="3" xfId="0" applyNumberFormat="1" applyBorder="1"/>
    <xf numFmtId="3" fontId="0" fillId="0" borderId="3" xfId="0" applyNumberFormat="1" applyBorder="1"/>
    <xf numFmtId="0" fontId="1" fillId="3" borderId="3" xfId="0" applyFont="1" applyFill="1" applyBorder="1" applyAlignment="1">
      <alignment horizontal="right"/>
    </xf>
    <xf numFmtId="0" fontId="0" fillId="3" borderId="3" xfId="0" applyFill="1" applyBorder="1" applyAlignment="1">
      <alignment horizontal="right"/>
    </xf>
    <xf numFmtId="0" fontId="1" fillId="3" borderId="3" xfId="0" applyFont="1" applyFill="1" applyBorder="1" applyAlignment="1">
      <alignment horizontal="left"/>
    </xf>
    <xf numFmtId="0" fontId="8" fillId="0" borderId="0" xfId="0" applyFont="1"/>
    <xf numFmtId="0" fontId="10" fillId="3" borderId="0" xfId="0" applyFont="1" applyFill="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168" fontId="0" fillId="0" borderId="0" xfId="0" applyNumberFormat="1"/>
    <xf numFmtId="0" fontId="12" fillId="0" borderId="0" xfId="0" applyFont="1"/>
    <xf numFmtId="0" fontId="0" fillId="0" borderId="0" xfId="0" applyAlignment="1">
      <alignment horizontal="right"/>
    </xf>
    <xf numFmtId="0" fontId="0" fillId="4" borderId="0" xfId="0" applyFill="1"/>
    <xf numFmtId="0" fontId="11" fillId="4" borderId="0" xfId="0" applyFont="1" applyFill="1"/>
    <xf numFmtId="169" fontId="0" fillId="0" borderId="0" xfId="0" applyNumberFormat="1"/>
    <xf numFmtId="170" fontId="0" fillId="0" borderId="0" xfId="0" applyNumberFormat="1"/>
    <xf numFmtId="2" fontId="0" fillId="0" borderId="0" xfId="0" applyNumberFormat="1"/>
    <xf numFmtId="0" fontId="0" fillId="0" borderId="2" xfId="0" applyBorder="1" applyAlignment="1">
      <alignment horizontal="left"/>
    </xf>
    <xf numFmtId="0" fontId="15" fillId="0" borderId="0" xfId="0" applyFont="1"/>
    <xf numFmtId="0" fontId="13" fillId="0" borderId="0" xfId="0" applyFont="1"/>
    <xf numFmtId="0" fontId="1" fillId="4" borderId="2" xfId="0" applyFont="1" applyFill="1" applyBorder="1"/>
    <xf numFmtId="0" fontId="17" fillId="5" borderId="0" xfId="0" applyFont="1" applyFill="1"/>
    <xf numFmtId="0" fontId="17" fillId="0" borderId="0" xfId="0" applyFont="1"/>
    <xf numFmtId="0" fontId="20" fillId="4" borderId="0" xfId="0" applyFont="1" applyFill="1"/>
    <xf numFmtId="0" fontId="0" fillId="0" borderId="0" xfId="0" pivotButton="1" applyBorder="1"/>
    <xf numFmtId="0" fontId="0" fillId="0" borderId="0" xfId="0" applyBorder="1" applyAlignment="1">
      <alignment horizontal="left"/>
    </xf>
    <xf numFmtId="170" fontId="0" fillId="0" borderId="0" xfId="0" applyNumberFormat="1" applyBorder="1"/>
    <xf numFmtId="0" fontId="0" fillId="0" borderId="6" xfId="0" applyBorder="1"/>
    <xf numFmtId="171" fontId="0" fillId="0" borderId="6" xfId="0" applyNumberFormat="1" applyBorder="1" applyAlignment="1">
      <alignment horizontal="right"/>
    </xf>
    <xf numFmtId="171" fontId="0" fillId="0" borderId="6" xfId="0" applyNumberFormat="1" applyBorder="1"/>
    <xf numFmtId="168" fontId="0" fillId="0" borderId="6" xfId="1" applyNumberFormat="1" applyFont="1" applyBorder="1"/>
    <xf numFmtId="168" fontId="0" fillId="0" borderId="6" xfId="0" applyNumberFormat="1" applyBorder="1"/>
    <xf numFmtId="0" fontId="0" fillId="0" borderId="6" xfId="0" applyBorder="1" applyAlignment="1">
      <alignment horizontal="center"/>
    </xf>
    <xf numFmtId="0" fontId="0" fillId="0" borderId="7" xfId="0" applyFont="1" applyBorder="1"/>
    <xf numFmtId="0" fontId="1" fillId="8" borderId="4" xfId="0" applyFont="1" applyFill="1" applyBorder="1"/>
    <xf numFmtId="0" fontId="0" fillId="8" borderId="4" xfId="0" applyFill="1" applyBorder="1"/>
    <xf numFmtId="0" fontId="0" fillId="8" borderId="4" xfId="0" applyFont="1" applyFill="1" applyBorder="1"/>
    <xf numFmtId="0" fontId="0" fillId="6" borderId="8" xfId="0" applyFill="1" applyBorder="1"/>
    <xf numFmtId="0" fontId="23" fillId="0" borderId="0" xfId="0" applyFont="1" applyBorder="1"/>
    <xf numFmtId="0" fontId="1" fillId="7" borderId="5" xfId="0" applyFont="1" applyFill="1" applyBorder="1"/>
    <xf numFmtId="0" fontId="1" fillId="7" borderId="5" xfId="0" applyFont="1" applyFill="1" applyBorder="1" applyAlignment="1">
      <alignment horizontal="right"/>
    </xf>
    <xf numFmtId="0" fontId="1" fillId="7" borderId="5" xfId="0" applyFont="1" applyFill="1" applyBorder="1" applyAlignment="1">
      <alignment horizontal="center"/>
    </xf>
    <xf numFmtId="172" fontId="0" fillId="0" borderId="0" xfId="0" applyNumberFormat="1"/>
    <xf numFmtId="166" fontId="0" fillId="0" borderId="0" xfId="0" applyNumberFormat="1" applyAlignment="1">
      <alignment horizontal="right"/>
    </xf>
    <xf numFmtId="0" fontId="24" fillId="2" borderId="0" xfId="0" applyFont="1" applyFill="1"/>
    <xf numFmtId="0" fontId="0" fillId="5" borderId="0" xfId="0" applyFill="1"/>
    <xf numFmtId="0" fontId="28" fillId="5" borderId="0" xfId="0" applyFont="1" applyFill="1" applyBorder="1" applyAlignment="1">
      <alignment vertical="center"/>
    </xf>
    <xf numFmtId="0" fontId="30" fillId="0" borderId="0" xfId="0" applyFont="1"/>
    <xf numFmtId="0" fontId="1" fillId="9" borderId="9" xfId="0" applyFont="1" applyFill="1" applyBorder="1"/>
    <xf numFmtId="0" fontId="0" fillId="0" borderId="10" xfId="0" applyBorder="1"/>
    <xf numFmtId="0" fontId="1" fillId="9" borderId="11" xfId="0" applyFont="1" applyFill="1" applyBorder="1"/>
    <xf numFmtId="0" fontId="0" fillId="0" borderId="12" xfId="0" applyBorder="1"/>
    <xf numFmtId="0" fontId="0" fillId="4" borderId="9" xfId="0" applyFont="1" applyFill="1" applyBorder="1"/>
    <xf numFmtId="0" fontId="31" fillId="4" borderId="13" xfId="0" applyFont="1" applyFill="1" applyBorder="1" applyAlignment="1">
      <alignment horizontal="right"/>
    </xf>
    <xf numFmtId="0" fontId="31" fillId="4" borderId="10" xfId="0" applyFont="1" applyFill="1" applyBorder="1" applyAlignment="1">
      <alignment horizontal="right"/>
    </xf>
    <xf numFmtId="0" fontId="1" fillId="9" borderId="14" xfId="0" applyFont="1" applyFill="1" applyBorder="1"/>
    <xf numFmtId="0" fontId="0" fillId="0" borderId="15" xfId="0" applyBorder="1"/>
    <xf numFmtId="0" fontId="0" fillId="0" borderId="16" xfId="0" applyBorder="1"/>
    <xf numFmtId="0" fontId="0" fillId="0" borderId="13" xfId="0" applyBorder="1"/>
    <xf numFmtId="0" fontId="1" fillId="9" borderId="17" xfId="0" applyFont="1" applyFill="1" applyBorder="1"/>
    <xf numFmtId="0" fontId="0" fillId="9" borderId="18" xfId="0" applyFill="1" applyBorder="1"/>
    <xf numFmtId="0" fontId="0" fillId="0" borderId="19" xfId="0" applyBorder="1"/>
    <xf numFmtId="0" fontId="6" fillId="4" borderId="0" xfId="0" applyFont="1" applyFill="1"/>
    <xf numFmtId="166" fontId="0" fillId="0" borderId="0" xfId="0" applyNumberFormat="1" applyBorder="1"/>
    <xf numFmtId="3" fontId="0" fillId="0" borderId="20" xfId="0" applyNumberFormat="1" applyBorder="1"/>
    <xf numFmtId="166" fontId="0" fillId="0" borderId="4" xfId="0" applyNumberFormat="1" applyBorder="1"/>
    <xf numFmtId="3" fontId="0" fillId="0" borderId="21" xfId="0" applyNumberFormat="1" applyBorder="1"/>
    <xf numFmtId="0" fontId="1" fillId="0" borderId="2" xfId="0" applyFont="1" applyBorder="1"/>
    <xf numFmtId="0" fontId="0" fillId="0" borderId="23" xfId="0" applyBorder="1"/>
    <xf numFmtId="0" fontId="0" fillId="0" borderId="24" xfId="0" applyBorder="1"/>
    <xf numFmtId="0" fontId="0" fillId="0" borderId="25" xfId="0" pivotButton="1" applyBorder="1"/>
    <xf numFmtId="0" fontId="0" fillId="0" borderId="25" xfId="0" applyBorder="1"/>
    <xf numFmtId="0" fontId="0" fillId="0" borderId="26" xfId="0" applyBorder="1" applyAlignment="1">
      <alignment horizontal="left"/>
    </xf>
    <xf numFmtId="0" fontId="0" fillId="0" borderId="26" xfId="0" applyNumberFormat="1" applyBorder="1"/>
    <xf numFmtId="0" fontId="0" fillId="0" borderId="26" xfId="0" applyBorder="1" applyAlignment="1">
      <alignment horizontal="left" indent="1"/>
    </xf>
    <xf numFmtId="0" fontId="0" fillId="0" borderId="27" xfId="0" applyBorder="1" applyAlignment="1">
      <alignment horizontal="left"/>
    </xf>
    <xf numFmtId="0" fontId="0" fillId="0" borderId="27" xfId="0" applyNumberFormat="1" applyBorder="1"/>
    <xf numFmtId="0" fontId="0" fillId="0" borderId="3" xfId="0" applyBorder="1" applyAlignment="1">
      <alignment horizontal="right"/>
    </xf>
    <xf numFmtId="0" fontId="0" fillId="0" borderId="22" xfId="0" applyBorder="1" applyAlignment="1">
      <alignment horizontal="right"/>
    </xf>
    <xf numFmtId="0" fontId="0" fillId="0" borderId="3" xfId="0" applyBorder="1" applyAlignment="1">
      <alignment horizontal="left"/>
    </xf>
  </cellXfs>
  <cellStyles count="2">
    <cellStyle name="Comma" xfId="1" builtinId="3"/>
    <cellStyle name="Normal" xfId="0" builtinId="0"/>
  </cellStyles>
  <dxfs count="206">
    <dxf>
      <font>
        <color rgb="FF9C0006"/>
      </font>
      <fill>
        <patternFill>
          <bgColor rgb="FFFFC7CE"/>
        </patternFill>
      </fill>
    </dxf>
    <dxf>
      <font>
        <color rgb="FF006100"/>
      </font>
      <fill>
        <patternFill>
          <bgColor rgb="FFC6EFCE"/>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thin">
          <color auto="1"/>
        </left>
        <right style="thin">
          <color auto="1"/>
        </right>
        <top style="thin">
          <color auto="1"/>
        </top>
        <bottom style="thin">
          <color auto="1"/>
        </bottom>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right/>
      </border>
    </dxf>
    <dxf>
      <border>
        <right/>
      </border>
    </dxf>
    <dxf>
      <border>
        <right/>
      </border>
    </dxf>
    <dxf>
      <border>
        <right/>
      </border>
    </dxf>
    <dxf>
      <border>
        <right/>
      </border>
    </dxf>
    <dxf>
      <border>
        <right/>
      </border>
    </dxf>
    <dxf>
      <border>
        <left/>
      </border>
    </dxf>
    <dxf>
      <border>
        <left/>
      </border>
    </dxf>
    <dxf>
      <border>
        <left/>
      </border>
    </dxf>
    <dxf>
      <border>
        <left/>
      </border>
    </dxf>
    <dxf>
      <border>
        <left/>
      </border>
    </dxf>
    <dxf>
      <border>
        <left/>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thin">
          <color auto="1"/>
        </left>
        <right style="thin">
          <color auto="1"/>
        </right>
        <top style="thin">
          <color auto="1"/>
        </top>
        <bottom style="thin">
          <color auto="1"/>
        </bottom>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right/>
      </border>
    </dxf>
    <dxf>
      <border>
        <right/>
      </border>
    </dxf>
    <dxf>
      <border>
        <right/>
      </border>
    </dxf>
    <dxf>
      <border>
        <right/>
      </border>
    </dxf>
    <dxf>
      <border>
        <right/>
      </border>
    </dxf>
    <dxf>
      <border>
        <right/>
      </border>
    </dxf>
    <dxf>
      <border>
        <left/>
      </border>
    </dxf>
    <dxf>
      <border>
        <left/>
      </border>
    </dxf>
    <dxf>
      <border>
        <left/>
      </border>
    </dxf>
    <dxf>
      <border>
        <left/>
      </border>
    </dxf>
    <dxf>
      <border>
        <left/>
      </border>
    </dxf>
    <dxf>
      <border>
        <left/>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thin">
          <color auto="1"/>
        </left>
        <right style="thin">
          <color auto="1"/>
        </right>
        <top style="thin">
          <color auto="1"/>
        </top>
        <bottom style="thin">
          <color auto="1"/>
        </bottom>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right/>
      </border>
    </dxf>
    <dxf>
      <border>
        <right/>
      </border>
    </dxf>
    <dxf>
      <border>
        <right/>
      </border>
    </dxf>
    <dxf>
      <border>
        <right/>
      </border>
    </dxf>
    <dxf>
      <border>
        <right/>
      </border>
    </dxf>
    <dxf>
      <border>
        <right/>
      </border>
    </dxf>
    <dxf>
      <border>
        <left/>
      </border>
    </dxf>
    <dxf>
      <border>
        <left/>
      </border>
    </dxf>
    <dxf>
      <border>
        <left/>
      </border>
    </dxf>
    <dxf>
      <border>
        <left/>
      </border>
    </dxf>
    <dxf>
      <border>
        <left/>
      </border>
    </dxf>
    <dxf>
      <border>
        <left/>
      </border>
    </dxf>
    <dxf>
      <alignment horizontal="right"/>
    </dxf>
    <dxf>
      <numFmt numFmtId="166" formatCode="[$$-409]#,##0"/>
    </dxf>
    <dxf>
      <alignment horizontal="general" indent="0"/>
    </dxf>
    <dxf>
      <alignment horizontal="right"/>
    </dxf>
    <dxf>
      <alignment horizontal="general" indent="0"/>
    </dxf>
    <dxf>
      <numFmt numFmtId="167" formatCode="_-[$$-409]* #,##0.00_ ;_-[$$-409]* \-#,##0.00\ ;_-[$$-409]* &quot;-&quot;??_ ;_-@_ "/>
    </dxf>
    <dxf>
      <numFmt numFmtId="174" formatCode="_-[$$-409]* #,##0_ ;_-[$$-409]* \-#,##0\ ;_-[$$-409]* &quot;-&quot;??_ ;_-@_ "/>
    </dxf>
    <dxf>
      <numFmt numFmtId="167" formatCode="_-[$$-409]* #,##0.00_ ;_-[$$-409]* \-#,##0.00\ ;_-[$$-409]* &quot;-&quot;??_ ;_-@_ "/>
    </dxf>
    <dxf>
      <alignment horizontal="right" 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border>
        <left/>
      </border>
    </dxf>
    <dxf>
      <border>
        <left/>
      </border>
    </dxf>
    <dxf>
      <border>
        <left/>
      </border>
    </dxf>
    <dxf>
      <border>
        <left/>
      </border>
    </dxf>
    <dxf>
      <border>
        <left/>
      </border>
    </dxf>
    <dxf>
      <border>
        <left/>
      </border>
    </dxf>
    <dxf>
      <border>
        <right/>
      </border>
    </dxf>
    <dxf>
      <border>
        <right/>
      </border>
    </dxf>
    <dxf>
      <border>
        <right/>
      </border>
    </dxf>
    <dxf>
      <border>
        <right/>
      </border>
    </dxf>
    <dxf>
      <border>
        <right/>
      </border>
    </dxf>
    <dxf>
      <border>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border>
    </dxf>
    <dxf>
      <border>
        <left style="thin">
          <color auto="1"/>
        </left>
        <right style="thin">
          <color auto="1"/>
        </right>
        <top style="thin">
          <color auto="1"/>
        </top>
        <bottom style="thin">
          <color auto="1"/>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left style="thin">
          <color auto="1"/>
        </left>
        <right style="thin">
          <color auto="1"/>
        </right>
        <horizontal style="dotted">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left style="thin">
          <color auto="1"/>
        </left>
        <right style="thin">
          <color auto="1"/>
        </right>
        <horizontal style="hair">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border>
        <top style="thin">
          <color auto="1"/>
        </top>
        <bottom style="thin">
          <color auto="1"/>
        </bottom>
        <horizontal style="thin">
          <color auto="1"/>
        </horizontal>
      </border>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border>
        <left style="thin">
          <color auto="1"/>
        </left>
        <right style="thin">
          <color auto="1"/>
        </right>
        <top style="thin">
          <color auto="1"/>
        </top>
        <bottom style="thin">
          <color auto="1"/>
        </bottom>
      </border>
    </dxf>
    <dxf>
      <numFmt numFmtId="170" formatCode="\$#,##0.00;\(\$#,##0.00\);\$#,##0.00"/>
    </dxf>
    <dxf>
      <numFmt numFmtId="2" formatCode="0.00"/>
    </dxf>
    <dxf>
      <numFmt numFmtId="170" formatCode="\$#,##0.00;\(\$#,##0.00\);\$#,##0.00"/>
    </dxf>
    <dxf>
      <alignment horizontal="right"/>
    </dxf>
    <dxf>
      <numFmt numFmtId="168" formatCode="_ * #,##0_ ;_ * \-#,##0_ ;_ * &quot;-&quot;??_ ;_ @_ "/>
    </dxf>
    <dxf>
      <numFmt numFmtId="167" formatCode="_-[$$-409]* #,##0.00_ ;_-[$$-409]* \-#,##0.00\ ;_-[$$-409]* &quot;-&quot;??_ ;_-@_ "/>
    </dxf>
    <dxf>
      <numFmt numFmtId="167" formatCode="_-[$$-409]* #,##0.00_ ;_-[$$-409]* \-#,##0.00\ ;_-[$$-409]* &quot;-&quot;??_ ;_-@_ "/>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167" formatCode="_-[$$-409]* #,##0.00_ ;_-[$$-409]* \-#,##0.00\ ;_-[$$-409]* &quot;-&quot;??_ ;_-@_ "/>
    </dxf>
    <dxf>
      <numFmt numFmtId="0" formatCode="General"/>
    </dxf>
    <dxf>
      <numFmt numFmtId="3" formatCode="#,##0"/>
    </dxf>
    <dxf>
      <numFmt numFmtId="164" formatCode="&quot;$&quot;#,##0_);[Red]\(&quot;$&quot;#,##0\)"/>
    </dxf>
    <dxf>
      <font>
        <b/>
        <i val="0"/>
        <strike val="0"/>
        <condense val="0"/>
        <extend val="0"/>
        <outline val="0"/>
        <shadow val="0"/>
        <u val="none"/>
        <vertAlign val="baseline"/>
        <sz val="11"/>
        <color theme="1"/>
        <name val="Calibri"/>
        <family val="2"/>
        <scheme val="minor"/>
      </font>
    </dxf>
    <dxf>
      <numFmt numFmtId="165"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'QUES 6'!$R$5:$R$304</c:f>
              <c:numCache>
                <c:formatCode>"$"#,##0_);[Red]\("$"#,##0\)</c:formatCode>
                <c:ptCount val="300"/>
                <c:pt idx="0">
                  <c:v>1624</c:v>
                </c:pt>
                <c:pt idx="1">
                  <c:v>6706</c:v>
                </c:pt>
                <c:pt idx="2">
                  <c:v>959</c:v>
                </c:pt>
                <c:pt idx="3">
                  <c:v>9632</c:v>
                </c:pt>
                <c:pt idx="4">
                  <c:v>2100</c:v>
                </c:pt>
                <c:pt idx="5">
                  <c:v>8869</c:v>
                </c:pt>
                <c:pt idx="6">
                  <c:v>2681</c:v>
                </c:pt>
                <c:pt idx="7">
                  <c:v>5012</c:v>
                </c:pt>
                <c:pt idx="8">
                  <c:v>1281</c:v>
                </c:pt>
                <c:pt idx="9">
                  <c:v>4991</c:v>
                </c:pt>
                <c:pt idx="10">
                  <c:v>1785</c:v>
                </c:pt>
                <c:pt idx="11">
                  <c:v>3983</c:v>
                </c:pt>
                <c:pt idx="12">
                  <c:v>2646</c:v>
                </c:pt>
                <c:pt idx="13">
                  <c:v>252</c:v>
                </c:pt>
                <c:pt idx="14">
                  <c:v>2464</c:v>
                </c:pt>
                <c:pt idx="15">
                  <c:v>2114</c:v>
                </c:pt>
                <c:pt idx="16">
                  <c:v>7693</c:v>
                </c:pt>
                <c:pt idx="17">
                  <c:v>15610</c:v>
                </c:pt>
                <c:pt idx="18">
                  <c:v>336</c:v>
                </c:pt>
                <c:pt idx="19">
                  <c:v>9443</c:v>
                </c:pt>
                <c:pt idx="20">
                  <c:v>8155</c:v>
                </c:pt>
                <c:pt idx="21">
                  <c:v>1701</c:v>
                </c:pt>
                <c:pt idx="22">
                  <c:v>2205</c:v>
                </c:pt>
                <c:pt idx="23">
                  <c:v>1771</c:v>
                </c:pt>
                <c:pt idx="24">
                  <c:v>2114</c:v>
                </c:pt>
                <c:pt idx="25">
                  <c:v>10311</c:v>
                </c:pt>
                <c:pt idx="26">
                  <c:v>21</c:v>
                </c:pt>
                <c:pt idx="27">
                  <c:v>1974</c:v>
                </c:pt>
                <c:pt idx="28">
                  <c:v>6314</c:v>
                </c:pt>
                <c:pt idx="29">
                  <c:v>4683</c:v>
                </c:pt>
                <c:pt idx="30">
                  <c:v>6398</c:v>
                </c:pt>
                <c:pt idx="31">
                  <c:v>553</c:v>
                </c:pt>
                <c:pt idx="32">
                  <c:v>7021</c:v>
                </c:pt>
                <c:pt idx="33">
                  <c:v>5817</c:v>
                </c:pt>
                <c:pt idx="34">
                  <c:v>3976</c:v>
                </c:pt>
                <c:pt idx="35">
                  <c:v>1134</c:v>
                </c:pt>
                <c:pt idx="36">
                  <c:v>6027</c:v>
                </c:pt>
                <c:pt idx="37">
                  <c:v>1904</c:v>
                </c:pt>
                <c:pt idx="38">
                  <c:v>3262</c:v>
                </c:pt>
                <c:pt idx="39">
                  <c:v>2289</c:v>
                </c:pt>
                <c:pt idx="40">
                  <c:v>6986</c:v>
                </c:pt>
                <c:pt idx="41">
                  <c:v>4417</c:v>
                </c:pt>
                <c:pt idx="42">
                  <c:v>1442</c:v>
                </c:pt>
                <c:pt idx="43">
                  <c:v>2415</c:v>
                </c:pt>
                <c:pt idx="44">
                  <c:v>238</c:v>
                </c:pt>
                <c:pt idx="45">
                  <c:v>4949</c:v>
                </c:pt>
                <c:pt idx="46">
                  <c:v>5075</c:v>
                </c:pt>
                <c:pt idx="47">
                  <c:v>9198</c:v>
                </c:pt>
                <c:pt idx="48">
                  <c:v>3339</c:v>
                </c:pt>
                <c:pt idx="49">
                  <c:v>5019</c:v>
                </c:pt>
                <c:pt idx="50">
                  <c:v>16184</c:v>
                </c:pt>
                <c:pt idx="51">
                  <c:v>497</c:v>
                </c:pt>
                <c:pt idx="52">
                  <c:v>8211</c:v>
                </c:pt>
                <c:pt idx="53">
                  <c:v>6580</c:v>
                </c:pt>
                <c:pt idx="54">
                  <c:v>4760</c:v>
                </c:pt>
                <c:pt idx="55">
                  <c:v>5439</c:v>
                </c:pt>
                <c:pt idx="56">
                  <c:v>1463</c:v>
                </c:pt>
                <c:pt idx="57">
                  <c:v>7777</c:v>
                </c:pt>
                <c:pt idx="58">
                  <c:v>1085</c:v>
                </c:pt>
                <c:pt idx="59">
                  <c:v>182</c:v>
                </c:pt>
                <c:pt idx="60">
                  <c:v>4242</c:v>
                </c:pt>
                <c:pt idx="61">
                  <c:v>6118</c:v>
                </c:pt>
                <c:pt idx="62">
                  <c:v>2317</c:v>
                </c:pt>
                <c:pt idx="63">
                  <c:v>938</c:v>
                </c:pt>
                <c:pt idx="64">
                  <c:v>9709</c:v>
                </c:pt>
                <c:pt idx="65">
                  <c:v>2205</c:v>
                </c:pt>
                <c:pt idx="66">
                  <c:v>4487</c:v>
                </c:pt>
                <c:pt idx="67">
                  <c:v>2415</c:v>
                </c:pt>
                <c:pt idx="68">
                  <c:v>4018</c:v>
                </c:pt>
                <c:pt idx="69">
                  <c:v>861</c:v>
                </c:pt>
                <c:pt idx="70">
                  <c:v>5586</c:v>
                </c:pt>
                <c:pt idx="71">
                  <c:v>2226</c:v>
                </c:pt>
                <c:pt idx="72">
                  <c:v>14329</c:v>
                </c:pt>
                <c:pt idx="73">
                  <c:v>8463</c:v>
                </c:pt>
                <c:pt idx="74">
                  <c:v>2891</c:v>
                </c:pt>
                <c:pt idx="75">
                  <c:v>3773</c:v>
                </c:pt>
                <c:pt idx="76">
                  <c:v>854</c:v>
                </c:pt>
                <c:pt idx="77">
                  <c:v>4970</c:v>
                </c:pt>
                <c:pt idx="78">
                  <c:v>98</c:v>
                </c:pt>
                <c:pt idx="79">
                  <c:v>13391</c:v>
                </c:pt>
                <c:pt idx="80">
                  <c:v>8890</c:v>
                </c:pt>
                <c:pt idx="81">
                  <c:v>56</c:v>
                </c:pt>
                <c:pt idx="82">
                  <c:v>3339</c:v>
                </c:pt>
                <c:pt idx="83">
                  <c:v>3808</c:v>
                </c:pt>
                <c:pt idx="84">
                  <c:v>63</c:v>
                </c:pt>
                <c:pt idx="85">
                  <c:v>7812</c:v>
                </c:pt>
                <c:pt idx="86">
                  <c:v>7693</c:v>
                </c:pt>
                <c:pt idx="87">
                  <c:v>973</c:v>
                </c:pt>
                <c:pt idx="88">
                  <c:v>567</c:v>
                </c:pt>
                <c:pt idx="89">
                  <c:v>2471</c:v>
                </c:pt>
                <c:pt idx="90">
                  <c:v>7189</c:v>
                </c:pt>
                <c:pt idx="91">
                  <c:v>7455</c:v>
                </c:pt>
                <c:pt idx="92">
                  <c:v>3108</c:v>
                </c:pt>
                <c:pt idx="93">
                  <c:v>469</c:v>
                </c:pt>
                <c:pt idx="94">
                  <c:v>2737</c:v>
                </c:pt>
                <c:pt idx="95">
                  <c:v>4305</c:v>
                </c:pt>
                <c:pt idx="96">
                  <c:v>2408</c:v>
                </c:pt>
                <c:pt idx="97">
                  <c:v>1281</c:v>
                </c:pt>
                <c:pt idx="98">
                  <c:v>12348</c:v>
                </c:pt>
                <c:pt idx="99">
                  <c:v>3689</c:v>
                </c:pt>
                <c:pt idx="100">
                  <c:v>2870</c:v>
                </c:pt>
                <c:pt idx="101">
                  <c:v>798</c:v>
                </c:pt>
                <c:pt idx="102">
                  <c:v>2933</c:v>
                </c:pt>
                <c:pt idx="103">
                  <c:v>2744</c:v>
                </c:pt>
                <c:pt idx="104">
                  <c:v>9772</c:v>
                </c:pt>
                <c:pt idx="105">
                  <c:v>1568</c:v>
                </c:pt>
                <c:pt idx="106">
                  <c:v>11417</c:v>
                </c:pt>
                <c:pt idx="107">
                  <c:v>6748</c:v>
                </c:pt>
                <c:pt idx="108">
                  <c:v>1407</c:v>
                </c:pt>
                <c:pt idx="109">
                  <c:v>2023</c:v>
                </c:pt>
                <c:pt idx="110">
                  <c:v>5236</c:v>
                </c:pt>
                <c:pt idx="111">
                  <c:v>1925</c:v>
                </c:pt>
                <c:pt idx="112">
                  <c:v>6608</c:v>
                </c:pt>
                <c:pt idx="113">
                  <c:v>8008</c:v>
                </c:pt>
                <c:pt idx="114">
                  <c:v>1428</c:v>
                </c:pt>
                <c:pt idx="115">
                  <c:v>525</c:v>
                </c:pt>
                <c:pt idx="116">
                  <c:v>1505</c:v>
                </c:pt>
                <c:pt idx="117">
                  <c:v>6755</c:v>
                </c:pt>
                <c:pt idx="118">
                  <c:v>11571</c:v>
                </c:pt>
                <c:pt idx="119">
                  <c:v>2541</c:v>
                </c:pt>
                <c:pt idx="120">
                  <c:v>1526</c:v>
                </c:pt>
                <c:pt idx="121">
                  <c:v>6125</c:v>
                </c:pt>
                <c:pt idx="122">
                  <c:v>847</c:v>
                </c:pt>
                <c:pt idx="123">
                  <c:v>4753</c:v>
                </c:pt>
                <c:pt idx="124">
                  <c:v>959</c:v>
                </c:pt>
                <c:pt idx="125">
                  <c:v>2793</c:v>
                </c:pt>
                <c:pt idx="126">
                  <c:v>4606</c:v>
                </c:pt>
                <c:pt idx="127">
                  <c:v>5551</c:v>
                </c:pt>
                <c:pt idx="128">
                  <c:v>6657</c:v>
                </c:pt>
                <c:pt idx="129">
                  <c:v>4438</c:v>
                </c:pt>
                <c:pt idx="130">
                  <c:v>168</c:v>
                </c:pt>
                <c:pt idx="131">
                  <c:v>7777</c:v>
                </c:pt>
                <c:pt idx="132">
                  <c:v>3339</c:v>
                </c:pt>
                <c:pt idx="133">
                  <c:v>6391</c:v>
                </c:pt>
                <c:pt idx="134">
                  <c:v>518</c:v>
                </c:pt>
                <c:pt idx="135">
                  <c:v>5677</c:v>
                </c:pt>
                <c:pt idx="136">
                  <c:v>6048</c:v>
                </c:pt>
                <c:pt idx="137">
                  <c:v>3752</c:v>
                </c:pt>
                <c:pt idx="138">
                  <c:v>4480</c:v>
                </c:pt>
                <c:pt idx="139">
                  <c:v>259</c:v>
                </c:pt>
                <c:pt idx="140">
                  <c:v>42</c:v>
                </c:pt>
                <c:pt idx="141">
                  <c:v>98</c:v>
                </c:pt>
                <c:pt idx="142">
                  <c:v>2478</c:v>
                </c:pt>
                <c:pt idx="143">
                  <c:v>7847</c:v>
                </c:pt>
                <c:pt idx="144">
                  <c:v>9926</c:v>
                </c:pt>
                <c:pt idx="145">
                  <c:v>819</c:v>
                </c:pt>
                <c:pt idx="146">
                  <c:v>3052</c:v>
                </c:pt>
                <c:pt idx="147">
                  <c:v>6832</c:v>
                </c:pt>
                <c:pt idx="148">
                  <c:v>2016</c:v>
                </c:pt>
                <c:pt idx="149">
                  <c:v>7322</c:v>
                </c:pt>
                <c:pt idx="150">
                  <c:v>357</c:v>
                </c:pt>
                <c:pt idx="151">
                  <c:v>3192</c:v>
                </c:pt>
                <c:pt idx="152">
                  <c:v>8435</c:v>
                </c:pt>
                <c:pt idx="153">
                  <c:v>0</c:v>
                </c:pt>
                <c:pt idx="154">
                  <c:v>8862</c:v>
                </c:pt>
                <c:pt idx="155">
                  <c:v>3556</c:v>
                </c:pt>
                <c:pt idx="156">
                  <c:v>7280</c:v>
                </c:pt>
                <c:pt idx="157">
                  <c:v>3402</c:v>
                </c:pt>
                <c:pt idx="158">
                  <c:v>4592</c:v>
                </c:pt>
                <c:pt idx="159">
                  <c:v>7833</c:v>
                </c:pt>
                <c:pt idx="160">
                  <c:v>7651</c:v>
                </c:pt>
                <c:pt idx="161">
                  <c:v>2275</c:v>
                </c:pt>
                <c:pt idx="162">
                  <c:v>5670</c:v>
                </c:pt>
                <c:pt idx="163">
                  <c:v>2135</c:v>
                </c:pt>
                <c:pt idx="164">
                  <c:v>2779</c:v>
                </c:pt>
                <c:pt idx="165">
                  <c:v>12950</c:v>
                </c:pt>
                <c:pt idx="166">
                  <c:v>2646</c:v>
                </c:pt>
                <c:pt idx="167">
                  <c:v>3794</c:v>
                </c:pt>
                <c:pt idx="168">
                  <c:v>819</c:v>
                </c:pt>
                <c:pt idx="169">
                  <c:v>2583</c:v>
                </c:pt>
                <c:pt idx="170">
                  <c:v>4585</c:v>
                </c:pt>
                <c:pt idx="171">
                  <c:v>1652</c:v>
                </c:pt>
                <c:pt idx="172">
                  <c:v>4991</c:v>
                </c:pt>
                <c:pt idx="173">
                  <c:v>2009</c:v>
                </c:pt>
                <c:pt idx="174">
                  <c:v>1568</c:v>
                </c:pt>
                <c:pt idx="175">
                  <c:v>3388</c:v>
                </c:pt>
                <c:pt idx="176">
                  <c:v>623</c:v>
                </c:pt>
                <c:pt idx="177">
                  <c:v>10073</c:v>
                </c:pt>
                <c:pt idx="178">
                  <c:v>1561</c:v>
                </c:pt>
                <c:pt idx="179">
                  <c:v>11522</c:v>
                </c:pt>
                <c:pt idx="180">
                  <c:v>2317</c:v>
                </c:pt>
                <c:pt idx="181">
                  <c:v>3059</c:v>
                </c:pt>
                <c:pt idx="182">
                  <c:v>2324</c:v>
                </c:pt>
                <c:pt idx="183">
                  <c:v>4956</c:v>
                </c:pt>
                <c:pt idx="184">
                  <c:v>5355</c:v>
                </c:pt>
                <c:pt idx="185">
                  <c:v>7259</c:v>
                </c:pt>
                <c:pt idx="186">
                  <c:v>6279</c:v>
                </c:pt>
                <c:pt idx="187">
                  <c:v>2541</c:v>
                </c:pt>
                <c:pt idx="188">
                  <c:v>3864</c:v>
                </c:pt>
                <c:pt idx="189">
                  <c:v>6146</c:v>
                </c:pt>
                <c:pt idx="190">
                  <c:v>2639</c:v>
                </c:pt>
                <c:pt idx="191">
                  <c:v>1890</c:v>
                </c:pt>
                <c:pt idx="192">
                  <c:v>1932</c:v>
                </c:pt>
                <c:pt idx="193">
                  <c:v>6300</c:v>
                </c:pt>
                <c:pt idx="194">
                  <c:v>560</c:v>
                </c:pt>
                <c:pt idx="195">
                  <c:v>2856</c:v>
                </c:pt>
                <c:pt idx="196">
                  <c:v>707</c:v>
                </c:pt>
                <c:pt idx="197">
                  <c:v>3598</c:v>
                </c:pt>
                <c:pt idx="198">
                  <c:v>6853</c:v>
                </c:pt>
                <c:pt idx="199">
                  <c:v>4725</c:v>
                </c:pt>
                <c:pt idx="200">
                  <c:v>10304</c:v>
                </c:pt>
                <c:pt idx="201">
                  <c:v>1274</c:v>
                </c:pt>
                <c:pt idx="202">
                  <c:v>1526</c:v>
                </c:pt>
                <c:pt idx="203">
                  <c:v>3101</c:v>
                </c:pt>
                <c:pt idx="204">
                  <c:v>1057</c:v>
                </c:pt>
                <c:pt idx="205">
                  <c:v>5306</c:v>
                </c:pt>
                <c:pt idx="206">
                  <c:v>4018</c:v>
                </c:pt>
                <c:pt idx="207">
                  <c:v>938</c:v>
                </c:pt>
                <c:pt idx="208">
                  <c:v>1778</c:v>
                </c:pt>
                <c:pt idx="209">
                  <c:v>1638</c:v>
                </c:pt>
                <c:pt idx="210">
                  <c:v>154</c:v>
                </c:pt>
                <c:pt idx="211">
                  <c:v>9835</c:v>
                </c:pt>
                <c:pt idx="212">
                  <c:v>7273</c:v>
                </c:pt>
                <c:pt idx="213">
                  <c:v>6909</c:v>
                </c:pt>
                <c:pt idx="214">
                  <c:v>3920</c:v>
                </c:pt>
                <c:pt idx="215">
                  <c:v>4858</c:v>
                </c:pt>
                <c:pt idx="216">
                  <c:v>3549</c:v>
                </c:pt>
                <c:pt idx="217">
                  <c:v>966</c:v>
                </c:pt>
                <c:pt idx="218">
                  <c:v>385</c:v>
                </c:pt>
                <c:pt idx="219">
                  <c:v>2219</c:v>
                </c:pt>
                <c:pt idx="220">
                  <c:v>2954</c:v>
                </c:pt>
                <c:pt idx="221">
                  <c:v>280</c:v>
                </c:pt>
                <c:pt idx="222">
                  <c:v>6118</c:v>
                </c:pt>
                <c:pt idx="223">
                  <c:v>4802</c:v>
                </c:pt>
                <c:pt idx="224">
                  <c:v>4137</c:v>
                </c:pt>
                <c:pt idx="225">
                  <c:v>2023</c:v>
                </c:pt>
                <c:pt idx="226">
                  <c:v>9051</c:v>
                </c:pt>
                <c:pt idx="227">
                  <c:v>2919</c:v>
                </c:pt>
                <c:pt idx="228">
                  <c:v>5915</c:v>
                </c:pt>
                <c:pt idx="229">
                  <c:v>2562</c:v>
                </c:pt>
                <c:pt idx="230">
                  <c:v>8813</c:v>
                </c:pt>
                <c:pt idx="231">
                  <c:v>6111</c:v>
                </c:pt>
                <c:pt idx="232">
                  <c:v>3507</c:v>
                </c:pt>
                <c:pt idx="233">
                  <c:v>4319</c:v>
                </c:pt>
                <c:pt idx="234">
                  <c:v>609</c:v>
                </c:pt>
                <c:pt idx="235">
                  <c:v>6370</c:v>
                </c:pt>
                <c:pt idx="236">
                  <c:v>5474</c:v>
                </c:pt>
                <c:pt idx="237">
                  <c:v>3164</c:v>
                </c:pt>
                <c:pt idx="238">
                  <c:v>1302</c:v>
                </c:pt>
                <c:pt idx="239">
                  <c:v>7308</c:v>
                </c:pt>
                <c:pt idx="240">
                  <c:v>6132</c:v>
                </c:pt>
                <c:pt idx="241">
                  <c:v>3472</c:v>
                </c:pt>
                <c:pt idx="242">
                  <c:v>9660</c:v>
                </c:pt>
                <c:pt idx="243">
                  <c:v>2436</c:v>
                </c:pt>
                <c:pt idx="244">
                  <c:v>9506</c:v>
                </c:pt>
                <c:pt idx="245">
                  <c:v>245</c:v>
                </c:pt>
                <c:pt idx="246">
                  <c:v>2702</c:v>
                </c:pt>
                <c:pt idx="247">
                  <c:v>700</c:v>
                </c:pt>
                <c:pt idx="248">
                  <c:v>3759</c:v>
                </c:pt>
                <c:pt idx="249">
                  <c:v>1589</c:v>
                </c:pt>
                <c:pt idx="250">
                  <c:v>5194</c:v>
                </c:pt>
                <c:pt idx="251">
                  <c:v>945</c:v>
                </c:pt>
                <c:pt idx="252">
                  <c:v>1988</c:v>
                </c:pt>
                <c:pt idx="253">
                  <c:v>6734</c:v>
                </c:pt>
                <c:pt idx="254">
                  <c:v>217</c:v>
                </c:pt>
                <c:pt idx="255">
                  <c:v>6279</c:v>
                </c:pt>
                <c:pt idx="256">
                  <c:v>4424</c:v>
                </c:pt>
                <c:pt idx="257">
                  <c:v>189</c:v>
                </c:pt>
                <c:pt idx="258">
                  <c:v>490</c:v>
                </c:pt>
                <c:pt idx="259">
                  <c:v>434</c:v>
                </c:pt>
                <c:pt idx="260">
                  <c:v>10129</c:v>
                </c:pt>
                <c:pt idx="261">
                  <c:v>1652</c:v>
                </c:pt>
                <c:pt idx="262">
                  <c:v>6433</c:v>
                </c:pt>
                <c:pt idx="263">
                  <c:v>2212</c:v>
                </c:pt>
                <c:pt idx="264">
                  <c:v>609</c:v>
                </c:pt>
                <c:pt idx="265">
                  <c:v>1638</c:v>
                </c:pt>
                <c:pt idx="266">
                  <c:v>3829</c:v>
                </c:pt>
                <c:pt idx="267">
                  <c:v>5775</c:v>
                </c:pt>
                <c:pt idx="268">
                  <c:v>1071</c:v>
                </c:pt>
                <c:pt idx="269">
                  <c:v>5019</c:v>
                </c:pt>
                <c:pt idx="270">
                  <c:v>2863</c:v>
                </c:pt>
                <c:pt idx="271">
                  <c:v>1617</c:v>
                </c:pt>
                <c:pt idx="272">
                  <c:v>6818</c:v>
                </c:pt>
                <c:pt idx="273">
                  <c:v>6657</c:v>
                </c:pt>
                <c:pt idx="274">
                  <c:v>2919</c:v>
                </c:pt>
                <c:pt idx="275">
                  <c:v>3094</c:v>
                </c:pt>
                <c:pt idx="276">
                  <c:v>2989</c:v>
                </c:pt>
                <c:pt idx="277">
                  <c:v>2268</c:v>
                </c:pt>
                <c:pt idx="278">
                  <c:v>4753</c:v>
                </c:pt>
                <c:pt idx="279">
                  <c:v>7511</c:v>
                </c:pt>
                <c:pt idx="280">
                  <c:v>4326</c:v>
                </c:pt>
                <c:pt idx="281">
                  <c:v>4935</c:v>
                </c:pt>
                <c:pt idx="282">
                  <c:v>4781</c:v>
                </c:pt>
                <c:pt idx="283">
                  <c:v>7483</c:v>
                </c:pt>
                <c:pt idx="284">
                  <c:v>6860</c:v>
                </c:pt>
                <c:pt idx="285">
                  <c:v>9002</c:v>
                </c:pt>
                <c:pt idx="286">
                  <c:v>1400</c:v>
                </c:pt>
                <c:pt idx="287">
                  <c:v>4053</c:v>
                </c:pt>
                <c:pt idx="288">
                  <c:v>2149</c:v>
                </c:pt>
                <c:pt idx="289">
                  <c:v>3640</c:v>
                </c:pt>
                <c:pt idx="290">
                  <c:v>630</c:v>
                </c:pt>
                <c:pt idx="291">
                  <c:v>2429</c:v>
                </c:pt>
                <c:pt idx="292">
                  <c:v>2142</c:v>
                </c:pt>
                <c:pt idx="293">
                  <c:v>6454</c:v>
                </c:pt>
                <c:pt idx="294">
                  <c:v>4487</c:v>
                </c:pt>
                <c:pt idx="295">
                  <c:v>938</c:v>
                </c:pt>
                <c:pt idx="296">
                  <c:v>8841</c:v>
                </c:pt>
                <c:pt idx="297">
                  <c:v>4018</c:v>
                </c:pt>
                <c:pt idx="298">
                  <c:v>714</c:v>
                </c:pt>
                <c:pt idx="299">
                  <c:v>3850</c:v>
                </c:pt>
              </c:numCache>
            </c:numRef>
          </c:xVal>
          <c:yVal>
            <c:numRef>
              <c:f>'QUES 6'!$S$5:$S$304</c:f>
              <c:numCache>
                <c:formatCode>#,##0</c:formatCode>
                <c:ptCount val="300"/>
                <c:pt idx="0">
                  <c:v>114</c:v>
                </c:pt>
                <c:pt idx="1">
                  <c:v>459</c:v>
                </c:pt>
                <c:pt idx="2">
                  <c:v>147</c:v>
                </c:pt>
                <c:pt idx="3">
                  <c:v>288</c:v>
                </c:pt>
                <c:pt idx="4">
                  <c:v>414</c:v>
                </c:pt>
                <c:pt idx="5">
                  <c:v>432</c:v>
                </c:pt>
                <c:pt idx="6">
                  <c:v>54</c:v>
                </c:pt>
                <c:pt idx="7">
                  <c:v>210</c:v>
                </c:pt>
                <c:pt idx="8">
                  <c:v>75</c:v>
                </c:pt>
                <c:pt idx="9">
                  <c:v>12</c:v>
                </c:pt>
                <c:pt idx="10">
                  <c:v>462</c:v>
                </c:pt>
                <c:pt idx="11">
                  <c:v>144</c:v>
                </c:pt>
                <c:pt idx="12">
                  <c:v>120</c:v>
                </c:pt>
                <c:pt idx="13">
                  <c:v>54</c:v>
                </c:pt>
                <c:pt idx="14">
                  <c:v>234</c:v>
                </c:pt>
                <c:pt idx="15">
                  <c:v>66</c:v>
                </c:pt>
                <c:pt idx="16">
                  <c:v>87</c:v>
                </c:pt>
                <c:pt idx="17">
                  <c:v>339</c:v>
                </c:pt>
                <c:pt idx="18">
                  <c:v>144</c:v>
                </c:pt>
                <c:pt idx="19">
                  <c:v>162</c:v>
                </c:pt>
                <c:pt idx="20">
                  <c:v>90</c:v>
                </c:pt>
                <c:pt idx="21">
                  <c:v>234</c:v>
                </c:pt>
                <c:pt idx="22">
                  <c:v>141</c:v>
                </c:pt>
                <c:pt idx="23">
                  <c:v>204</c:v>
                </c:pt>
                <c:pt idx="24">
                  <c:v>186</c:v>
                </c:pt>
                <c:pt idx="25">
                  <c:v>231</c:v>
                </c:pt>
                <c:pt idx="26">
                  <c:v>168</c:v>
                </c:pt>
                <c:pt idx="27">
                  <c:v>195</c:v>
                </c:pt>
                <c:pt idx="28">
                  <c:v>15</c:v>
                </c:pt>
                <c:pt idx="29">
                  <c:v>30</c:v>
                </c:pt>
                <c:pt idx="30">
                  <c:v>102</c:v>
                </c:pt>
                <c:pt idx="31">
                  <c:v>15</c:v>
                </c:pt>
                <c:pt idx="32">
                  <c:v>183</c:v>
                </c:pt>
                <c:pt idx="33">
                  <c:v>12</c:v>
                </c:pt>
                <c:pt idx="34">
                  <c:v>72</c:v>
                </c:pt>
                <c:pt idx="35">
                  <c:v>282</c:v>
                </c:pt>
                <c:pt idx="36">
                  <c:v>144</c:v>
                </c:pt>
                <c:pt idx="37">
                  <c:v>405</c:v>
                </c:pt>
                <c:pt idx="38">
                  <c:v>75</c:v>
                </c:pt>
                <c:pt idx="39">
                  <c:v>135</c:v>
                </c:pt>
                <c:pt idx="40">
                  <c:v>21</c:v>
                </c:pt>
                <c:pt idx="41">
                  <c:v>153</c:v>
                </c:pt>
                <c:pt idx="42">
                  <c:v>15</c:v>
                </c:pt>
                <c:pt idx="43">
                  <c:v>255</c:v>
                </c:pt>
                <c:pt idx="44">
                  <c:v>18</c:v>
                </c:pt>
                <c:pt idx="45">
                  <c:v>189</c:v>
                </c:pt>
                <c:pt idx="46">
                  <c:v>21</c:v>
                </c:pt>
                <c:pt idx="47">
                  <c:v>36</c:v>
                </c:pt>
                <c:pt idx="48">
                  <c:v>75</c:v>
                </c:pt>
                <c:pt idx="49">
                  <c:v>156</c:v>
                </c:pt>
                <c:pt idx="50">
                  <c:v>39</c:v>
                </c:pt>
                <c:pt idx="51">
                  <c:v>63</c:v>
                </c:pt>
                <c:pt idx="52">
                  <c:v>75</c:v>
                </c:pt>
                <c:pt idx="53">
                  <c:v>183</c:v>
                </c:pt>
                <c:pt idx="54">
                  <c:v>69</c:v>
                </c:pt>
                <c:pt idx="55">
                  <c:v>30</c:v>
                </c:pt>
                <c:pt idx="56">
                  <c:v>39</c:v>
                </c:pt>
                <c:pt idx="57">
                  <c:v>504</c:v>
                </c:pt>
                <c:pt idx="58">
                  <c:v>273</c:v>
                </c:pt>
                <c:pt idx="59">
                  <c:v>48</c:v>
                </c:pt>
                <c:pt idx="60">
                  <c:v>207</c:v>
                </c:pt>
                <c:pt idx="61">
                  <c:v>9</c:v>
                </c:pt>
                <c:pt idx="62">
                  <c:v>261</c:v>
                </c:pt>
                <c:pt idx="63">
                  <c:v>6</c:v>
                </c:pt>
                <c:pt idx="64">
                  <c:v>30</c:v>
                </c:pt>
                <c:pt idx="65">
                  <c:v>138</c:v>
                </c:pt>
                <c:pt idx="66">
                  <c:v>111</c:v>
                </c:pt>
                <c:pt idx="67">
                  <c:v>15</c:v>
                </c:pt>
                <c:pt idx="68">
                  <c:v>162</c:v>
                </c:pt>
                <c:pt idx="69">
                  <c:v>195</c:v>
                </c:pt>
                <c:pt idx="70">
                  <c:v>525</c:v>
                </c:pt>
                <c:pt idx="71">
                  <c:v>48</c:v>
                </c:pt>
                <c:pt idx="72">
                  <c:v>150</c:v>
                </c:pt>
                <c:pt idx="73">
                  <c:v>492</c:v>
                </c:pt>
                <c:pt idx="74">
                  <c:v>102</c:v>
                </c:pt>
                <c:pt idx="75">
                  <c:v>165</c:v>
                </c:pt>
                <c:pt idx="76">
                  <c:v>309</c:v>
                </c:pt>
                <c:pt idx="77">
                  <c:v>156</c:v>
                </c:pt>
                <c:pt idx="78">
                  <c:v>159</c:v>
                </c:pt>
                <c:pt idx="79">
                  <c:v>201</c:v>
                </c:pt>
                <c:pt idx="80">
                  <c:v>210</c:v>
                </c:pt>
                <c:pt idx="81">
                  <c:v>51</c:v>
                </c:pt>
                <c:pt idx="82">
                  <c:v>39</c:v>
                </c:pt>
                <c:pt idx="83">
                  <c:v>279</c:v>
                </c:pt>
                <c:pt idx="84">
                  <c:v>123</c:v>
                </c:pt>
                <c:pt idx="85">
                  <c:v>81</c:v>
                </c:pt>
                <c:pt idx="86">
                  <c:v>21</c:v>
                </c:pt>
                <c:pt idx="87">
                  <c:v>162</c:v>
                </c:pt>
                <c:pt idx="88">
                  <c:v>228</c:v>
                </c:pt>
                <c:pt idx="89">
                  <c:v>342</c:v>
                </c:pt>
                <c:pt idx="90">
                  <c:v>54</c:v>
                </c:pt>
                <c:pt idx="91">
                  <c:v>216</c:v>
                </c:pt>
                <c:pt idx="92">
                  <c:v>54</c:v>
                </c:pt>
                <c:pt idx="93">
                  <c:v>75</c:v>
                </c:pt>
                <c:pt idx="94">
                  <c:v>93</c:v>
                </c:pt>
                <c:pt idx="95">
                  <c:v>156</c:v>
                </c:pt>
                <c:pt idx="96">
                  <c:v>9</c:v>
                </c:pt>
                <c:pt idx="97">
                  <c:v>18</c:v>
                </c:pt>
                <c:pt idx="98">
                  <c:v>234</c:v>
                </c:pt>
                <c:pt idx="99">
                  <c:v>312</c:v>
                </c:pt>
                <c:pt idx="100">
                  <c:v>300</c:v>
                </c:pt>
                <c:pt idx="101">
                  <c:v>519</c:v>
                </c:pt>
                <c:pt idx="102">
                  <c:v>9</c:v>
                </c:pt>
                <c:pt idx="103">
                  <c:v>9</c:v>
                </c:pt>
                <c:pt idx="104">
                  <c:v>90</c:v>
                </c:pt>
                <c:pt idx="105">
                  <c:v>96</c:v>
                </c:pt>
                <c:pt idx="106">
                  <c:v>21</c:v>
                </c:pt>
                <c:pt idx="107">
                  <c:v>48</c:v>
                </c:pt>
                <c:pt idx="108">
                  <c:v>72</c:v>
                </c:pt>
                <c:pt idx="109">
                  <c:v>168</c:v>
                </c:pt>
                <c:pt idx="110">
                  <c:v>51</c:v>
                </c:pt>
                <c:pt idx="111">
                  <c:v>192</c:v>
                </c:pt>
                <c:pt idx="112">
                  <c:v>225</c:v>
                </c:pt>
                <c:pt idx="113">
                  <c:v>456</c:v>
                </c:pt>
                <c:pt idx="114">
                  <c:v>93</c:v>
                </c:pt>
                <c:pt idx="115">
                  <c:v>48</c:v>
                </c:pt>
                <c:pt idx="116">
                  <c:v>102</c:v>
                </c:pt>
                <c:pt idx="117">
                  <c:v>252</c:v>
                </c:pt>
                <c:pt idx="118">
                  <c:v>138</c:v>
                </c:pt>
                <c:pt idx="119">
                  <c:v>90</c:v>
                </c:pt>
                <c:pt idx="120">
                  <c:v>240</c:v>
                </c:pt>
                <c:pt idx="121">
                  <c:v>102</c:v>
                </c:pt>
                <c:pt idx="122">
                  <c:v>129</c:v>
                </c:pt>
                <c:pt idx="123">
                  <c:v>300</c:v>
                </c:pt>
                <c:pt idx="124">
                  <c:v>135</c:v>
                </c:pt>
                <c:pt idx="125">
                  <c:v>114</c:v>
                </c:pt>
                <c:pt idx="126">
                  <c:v>63</c:v>
                </c:pt>
                <c:pt idx="127">
                  <c:v>252</c:v>
                </c:pt>
                <c:pt idx="128">
                  <c:v>303</c:v>
                </c:pt>
                <c:pt idx="129">
                  <c:v>246</c:v>
                </c:pt>
                <c:pt idx="130">
                  <c:v>84</c:v>
                </c:pt>
                <c:pt idx="131">
                  <c:v>39</c:v>
                </c:pt>
                <c:pt idx="132">
                  <c:v>348</c:v>
                </c:pt>
                <c:pt idx="133">
                  <c:v>48</c:v>
                </c:pt>
                <c:pt idx="134">
                  <c:v>75</c:v>
                </c:pt>
                <c:pt idx="135">
                  <c:v>258</c:v>
                </c:pt>
                <c:pt idx="136">
                  <c:v>27</c:v>
                </c:pt>
                <c:pt idx="137">
                  <c:v>213</c:v>
                </c:pt>
                <c:pt idx="138">
                  <c:v>357</c:v>
                </c:pt>
                <c:pt idx="139">
                  <c:v>207</c:v>
                </c:pt>
                <c:pt idx="140">
                  <c:v>150</c:v>
                </c:pt>
                <c:pt idx="141">
                  <c:v>204</c:v>
                </c:pt>
                <c:pt idx="142">
                  <c:v>21</c:v>
                </c:pt>
                <c:pt idx="143">
                  <c:v>174</c:v>
                </c:pt>
                <c:pt idx="144">
                  <c:v>201</c:v>
                </c:pt>
                <c:pt idx="145">
                  <c:v>510</c:v>
                </c:pt>
                <c:pt idx="146">
                  <c:v>378</c:v>
                </c:pt>
                <c:pt idx="147">
                  <c:v>27</c:v>
                </c:pt>
                <c:pt idx="148">
                  <c:v>117</c:v>
                </c:pt>
                <c:pt idx="149">
                  <c:v>36</c:v>
                </c:pt>
                <c:pt idx="150">
                  <c:v>126</c:v>
                </c:pt>
                <c:pt idx="151">
                  <c:v>72</c:v>
                </c:pt>
                <c:pt idx="152">
                  <c:v>42</c:v>
                </c:pt>
                <c:pt idx="153">
                  <c:v>135</c:v>
                </c:pt>
                <c:pt idx="154">
                  <c:v>189</c:v>
                </c:pt>
                <c:pt idx="155">
                  <c:v>459</c:v>
                </c:pt>
                <c:pt idx="156">
                  <c:v>201</c:v>
                </c:pt>
                <c:pt idx="157">
                  <c:v>366</c:v>
                </c:pt>
                <c:pt idx="158">
                  <c:v>324</c:v>
                </c:pt>
                <c:pt idx="159">
                  <c:v>243</c:v>
                </c:pt>
                <c:pt idx="160">
                  <c:v>213</c:v>
                </c:pt>
                <c:pt idx="161">
                  <c:v>447</c:v>
                </c:pt>
                <c:pt idx="162">
                  <c:v>297</c:v>
                </c:pt>
                <c:pt idx="163">
                  <c:v>27</c:v>
                </c:pt>
                <c:pt idx="164">
                  <c:v>75</c:v>
                </c:pt>
                <c:pt idx="165">
                  <c:v>30</c:v>
                </c:pt>
                <c:pt idx="166">
                  <c:v>177</c:v>
                </c:pt>
                <c:pt idx="167">
                  <c:v>159</c:v>
                </c:pt>
                <c:pt idx="168">
                  <c:v>306</c:v>
                </c:pt>
                <c:pt idx="169">
                  <c:v>18</c:v>
                </c:pt>
                <c:pt idx="170">
                  <c:v>240</c:v>
                </c:pt>
                <c:pt idx="171">
                  <c:v>93</c:v>
                </c:pt>
                <c:pt idx="172">
                  <c:v>9</c:v>
                </c:pt>
                <c:pt idx="173">
                  <c:v>219</c:v>
                </c:pt>
                <c:pt idx="174">
                  <c:v>141</c:v>
                </c:pt>
                <c:pt idx="175">
                  <c:v>123</c:v>
                </c:pt>
                <c:pt idx="176">
                  <c:v>51</c:v>
                </c:pt>
                <c:pt idx="177">
                  <c:v>120</c:v>
                </c:pt>
                <c:pt idx="178">
                  <c:v>27</c:v>
                </c:pt>
                <c:pt idx="179">
                  <c:v>204</c:v>
                </c:pt>
                <c:pt idx="180">
                  <c:v>123</c:v>
                </c:pt>
                <c:pt idx="181">
                  <c:v>27</c:v>
                </c:pt>
                <c:pt idx="182">
                  <c:v>177</c:v>
                </c:pt>
                <c:pt idx="183">
                  <c:v>171</c:v>
                </c:pt>
                <c:pt idx="184">
                  <c:v>204</c:v>
                </c:pt>
                <c:pt idx="185">
                  <c:v>276</c:v>
                </c:pt>
                <c:pt idx="186">
                  <c:v>45</c:v>
                </c:pt>
                <c:pt idx="187">
                  <c:v>45</c:v>
                </c:pt>
                <c:pt idx="188">
                  <c:v>177</c:v>
                </c:pt>
                <c:pt idx="189">
                  <c:v>63</c:v>
                </c:pt>
                <c:pt idx="190">
                  <c:v>204</c:v>
                </c:pt>
                <c:pt idx="191">
                  <c:v>195</c:v>
                </c:pt>
                <c:pt idx="192">
                  <c:v>369</c:v>
                </c:pt>
                <c:pt idx="193">
                  <c:v>42</c:v>
                </c:pt>
                <c:pt idx="194">
                  <c:v>81</c:v>
                </c:pt>
                <c:pt idx="195">
                  <c:v>246</c:v>
                </c:pt>
                <c:pt idx="196">
                  <c:v>174</c:v>
                </c:pt>
                <c:pt idx="197">
                  <c:v>81</c:v>
                </c:pt>
                <c:pt idx="198">
                  <c:v>372</c:v>
                </c:pt>
                <c:pt idx="199">
                  <c:v>174</c:v>
                </c:pt>
                <c:pt idx="200">
                  <c:v>84</c:v>
                </c:pt>
                <c:pt idx="201">
                  <c:v>225</c:v>
                </c:pt>
                <c:pt idx="202">
                  <c:v>105</c:v>
                </c:pt>
                <c:pt idx="203">
                  <c:v>225</c:v>
                </c:pt>
                <c:pt idx="204">
                  <c:v>54</c:v>
                </c:pt>
                <c:pt idx="205">
                  <c:v>0</c:v>
                </c:pt>
                <c:pt idx="206">
                  <c:v>171</c:v>
                </c:pt>
                <c:pt idx="207">
                  <c:v>189</c:v>
                </c:pt>
                <c:pt idx="208">
                  <c:v>270</c:v>
                </c:pt>
                <c:pt idx="209">
                  <c:v>63</c:v>
                </c:pt>
                <c:pt idx="210">
                  <c:v>21</c:v>
                </c:pt>
                <c:pt idx="211">
                  <c:v>207</c:v>
                </c:pt>
                <c:pt idx="212">
                  <c:v>96</c:v>
                </c:pt>
                <c:pt idx="213">
                  <c:v>81</c:v>
                </c:pt>
                <c:pt idx="214">
                  <c:v>306</c:v>
                </c:pt>
                <c:pt idx="215">
                  <c:v>279</c:v>
                </c:pt>
                <c:pt idx="216">
                  <c:v>3</c:v>
                </c:pt>
                <c:pt idx="217">
                  <c:v>198</c:v>
                </c:pt>
                <c:pt idx="218">
                  <c:v>249</c:v>
                </c:pt>
                <c:pt idx="219">
                  <c:v>75</c:v>
                </c:pt>
                <c:pt idx="220">
                  <c:v>189</c:v>
                </c:pt>
                <c:pt idx="221">
                  <c:v>87</c:v>
                </c:pt>
                <c:pt idx="222">
                  <c:v>174</c:v>
                </c:pt>
                <c:pt idx="223">
                  <c:v>36</c:v>
                </c:pt>
                <c:pt idx="224">
                  <c:v>60</c:v>
                </c:pt>
                <c:pt idx="225">
                  <c:v>78</c:v>
                </c:pt>
                <c:pt idx="226">
                  <c:v>57</c:v>
                </c:pt>
                <c:pt idx="227">
                  <c:v>45</c:v>
                </c:pt>
                <c:pt idx="228">
                  <c:v>3</c:v>
                </c:pt>
                <c:pt idx="229">
                  <c:v>6</c:v>
                </c:pt>
                <c:pt idx="230">
                  <c:v>21</c:v>
                </c:pt>
                <c:pt idx="231">
                  <c:v>3</c:v>
                </c:pt>
                <c:pt idx="232">
                  <c:v>288</c:v>
                </c:pt>
                <c:pt idx="233">
                  <c:v>30</c:v>
                </c:pt>
                <c:pt idx="234">
                  <c:v>87</c:v>
                </c:pt>
                <c:pt idx="235">
                  <c:v>30</c:v>
                </c:pt>
                <c:pt idx="236">
                  <c:v>168</c:v>
                </c:pt>
                <c:pt idx="237">
                  <c:v>306</c:v>
                </c:pt>
                <c:pt idx="238">
                  <c:v>402</c:v>
                </c:pt>
                <c:pt idx="239">
                  <c:v>327</c:v>
                </c:pt>
                <c:pt idx="240">
                  <c:v>93</c:v>
                </c:pt>
                <c:pt idx="241">
                  <c:v>96</c:v>
                </c:pt>
                <c:pt idx="242">
                  <c:v>27</c:v>
                </c:pt>
                <c:pt idx="243">
                  <c:v>99</c:v>
                </c:pt>
                <c:pt idx="244">
                  <c:v>87</c:v>
                </c:pt>
                <c:pt idx="245">
                  <c:v>288</c:v>
                </c:pt>
                <c:pt idx="246">
                  <c:v>363</c:v>
                </c:pt>
                <c:pt idx="247">
                  <c:v>87</c:v>
                </c:pt>
                <c:pt idx="248">
                  <c:v>150</c:v>
                </c:pt>
                <c:pt idx="249">
                  <c:v>303</c:v>
                </c:pt>
                <c:pt idx="250">
                  <c:v>288</c:v>
                </c:pt>
                <c:pt idx="251">
                  <c:v>75</c:v>
                </c:pt>
                <c:pt idx="252">
                  <c:v>39</c:v>
                </c:pt>
                <c:pt idx="253">
                  <c:v>123</c:v>
                </c:pt>
                <c:pt idx="254">
                  <c:v>36</c:v>
                </c:pt>
                <c:pt idx="255">
                  <c:v>237</c:v>
                </c:pt>
                <c:pt idx="256">
                  <c:v>201</c:v>
                </c:pt>
                <c:pt idx="257">
                  <c:v>48</c:v>
                </c:pt>
                <c:pt idx="258">
                  <c:v>84</c:v>
                </c:pt>
                <c:pt idx="259">
                  <c:v>87</c:v>
                </c:pt>
                <c:pt idx="260">
                  <c:v>312</c:v>
                </c:pt>
                <c:pt idx="261">
                  <c:v>102</c:v>
                </c:pt>
                <c:pt idx="262">
                  <c:v>78</c:v>
                </c:pt>
                <c:pt idx="263">
                  <c:v>117</c:v>
                </c:pt>
                <c:pt idx="264">
                  <c:v>99</c:v>
                </c:pt>
                <c:pt idx="265">
                  <c:v>48</c:v>
                </c:pt>
                <c:pt idx="266">
                  <c:v>24</c:v>
                </c:pt>
                <c:pt idx="267">
                  <c:v>42</c:v>
                </c:pt>
                <c:pt idx="268">
                  <c:v>270</c:v>
                </c:pt>
                <c:pt idx="269">
                  <c:v>150</c:v>
                </c:pt>
                <c:pt idx="270">
                  <c:v>42</c:v>
                </c:pt>
                <c:pt idx="271">
                  <c:v>126</c:v>
                </c:pt>
                <c:pt idx="272">
                  <c:v>6</c:v>
                </c:pt>
                <c:pt idx="273">
                  <c:v>276</c:v>
                </c:pt>
                <c:pt idx="274">
                  <c:v>93</c:v>
                </c:pt>
                <c:pt idx="275">
                  <c:v>246</c:v>
                </c:pt>
                <c:pt idx="276">
                  <c:v>3</c:v>
                </c:pt>
                <c:pt idx="277">
                  <c:v>63</c:v>
                </c:pt>
                <c:pt idx="278">
                  <c:v>246</c:v>
                </c:pt>
                <c:pt idx="279">
                  <c:v>120</c:v>
                </c:pt>
                <c:pt idx="280">
                  <c:v>348</c:v>
                </c:pt>
                <c:pt idx="281">
                  <c:v>126</c:v>
                </c:pt>
                <c:pt idx="282">
                  <c:v>123</c:v>
                </c:pt>
                <c:pt idx="283">
                  <c:v>45</c:v>
                </c:pt>
                <c:pt idx="284">
                  <c:v>126</c:v>
                </c:pt>
                <c:pt idx="285">
                  <c:v>72</c:v>
                </c:pt>
                <c:pt idx="286">
                  <c:v>135</c:v>
                </c:pt>
                <c:pt idx="287">
                  <c:v>24</c:v>
                </c:pt>
                <c:pt idx="288">
                  <c:v>117</c:v>
                </c:pt>
                <c:pt idx="289">
                  <c:v>51</c:v>
                </c:pt>
                <c:pt idx="290">
                  <c:v>36</c:v>
                </c:pt>
                <c:pt idx="291">
                  <c:v>144</c:v>
                </c:pt>
                <c:pt idx="292">
                  <c:v>114</c:v>
                </c:pt>
                <c:pt idx="293">
                  <c:v>54</c:v>
                </c:pt>
                <c:pt idx="294">
                  <c:v>333</c:v>
                </c:pt>
                <c:pt idx="295">
                  <c:v>366</c:v>
                </c:pt>
                <c:pt idx="296">
                  <c:v>303</c:v>
                </c:pt>
                <c:pt idx="297">
                  <c:v>126</c:v>
                </c:pt>
                <c:pt idx="298">
                  <c:v>231</c:v>
                </c:pt>
                <c:pt idx="299">
                  <c:v>102</c:v>
                </c:pt>
              </c:numCache>
            </c:numRef>
          </c:yVal>
          <c:smooth val="0"/>
          <c:extLst>
            <c:ext xmlns:c16="http://schemas.microsoft.com/office/drawing/2014/chart" uri="{C3380CC4-5D6E-409C-BE32-E72D297353CC}">
              <c16:uniqueId val="{00000000-1174-4924-9B30-7588634176BC}"/>
            </c:ext>
          </c:extLst>
        </c:ser>
        <c:dLbls>
          <c:showLegendKey val="0"/>
          <c:showVal val="0"/>
          <c:showCatName val="0"/>
          <c:showSerName val="0"/>
          <c:showPercent val="0"/>
          <c:showBubbleSize val="0"/>
        </c:dLbls>
        <c:axId val="810858527"/>
        <c:axId val="816592319"/>
      </c:scatterChart>
      <c:valAx>
        <c:axId val="8108585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592319"/>
        <c:crosses val="autoZero"/>
        <c:crossBetween val="midCat"/>
      </c:valAx>
      <c:valAx>
        <c:axId val="816592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8585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boxWhisker" uniqueId="{53E3C670-B7C5-4623-99D0-F2CADA86ABE1}">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boxWhisker" uniqueId="{3727696B-B569-4D24-910D-CF0271AAB652}">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392264</xdr:colOff>
      <xdr:row>13</xdr:row>
      <xdr:rowOff>99061</xdr:rowOff>
    </xdr:from>
    <xdr:to>
      <xdr:col>7</xdr:col>
      <xdr:colOff>229263</xdr:colOff>
      <xdr:row>22</xdr:row>
      <xdr:rowOff>129540</xdr:rowOff>
    </xdr:to>
    <mc:AlternateContent xmlns:mc="http://schemas.openxmlformats.org/markup-compatibility/2006">
      <mc:Choice xmlns:a14="http://schemas.microsoft.com/office/drawing/2010/main" Requires="a14">
        <xdr:graphicFrame macro="">
          <xdr:nvGraphicFramePr>
            <xdr:cNvPr id="3" name="Sales Person">
              <a:extLst>
                <a:ext uri="{FF2B5EF4-FFF2-40B4-BE49-F238E27FC236}">
                  <a16:creationId xmlns:a16="http://schemas.microsoft.com/office/drawing/2014/main" id="{5DCD201D-AEB5-4147-8B0F-79FE6B7CCBED}"/>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902473" y="2915148"/>
              <a:ext cx="4462007" cy="1700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334384</xdr:colOff>
      <xdr:row>4</xdr:row>
      <xdr:rowOff>107577</xdr:rowOff>
    </xdr:from>
    <xdr:to>
      <xdr:col>9</xdr:col>
      <xdr:colOff>206188</xdr:colOff>
      <xdr:row>18</xdr:row>
      <xdr:rowOff>116541</xdr:rowOff>
    </xdr:to>
    <xdr:graphicFrame macro="">
      <xdr:nvGraphicFramePr>
        <xdr:cNvPr id="2" name="Chart 1">
          <a:extLst>
            <a:ext uri="{FF2B5EF4-FFF2-40B4-BE49-F238E27FC236}">
              <a16:creationId xmlns:a16="http://schemas.microsoft.com/office/drawing/2014/main" id="{7BC3DA97-BB02-435D-B994-4CA2DA80A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459441</xdr:colOff>
      <xdr:row>21</xdr:row>
      <xdr:rowOff>57150</xdr:rowOff>
    </xdr:from>
    <xdr:to>
      <xdr:col>5</xdr:col>
      <xdr:colOff>161365</xdr:colOff>
      <xdr:row>36</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37597F0-8352-4B4D-ABD6-2579419A91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69041" y="4301490"/>
              <a:ext cx="2140324" cy="2838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607360</xdr:colOff>
      <xdr:row>21</xdr:row>
      <xdr:rowOff>17931</xdr:rowOff>
    </xdr:from>
    <xdr:to>
      <xdr:col>12</xdr:col>
      <xdr:colOff>457200</xdr:colOff>
      <xdr:row>36</xdr:row>
      <xdr:rowOff>107577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D4AD885A-AEC6-433C-9295-98C7D3869A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655360" y="4262271"/>
              <a:ext cx="4970480" cy="283284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860611</xdr:colOff>
      <xdr:row>23</xdr:row>
      <xdr:rowOff>161366</xdr:rowOff>
    </xdr:from>
    <xdr:to>
      <xdr:col>12</xdr:col>
      <xdr:colOff>188259</xdr:colOff>
      <xdr:row>26</xdr:row>
      <xdr:rowOff>56478</xdr:rowOff>
    </xdr:to>
    <xdr:sp macro="" textlink="">
      <xdr:nvSpPr>
        <xdr:cNvPr id="8" name="Oval 7">
          <a:extLst>
            <a:ext uri="{FF2B5EF4-FFF2-40B4-BE49-F238E27FC236}">
              <a16:creationId xmlns:a16="http://schemas.microsoft.com/office/drawing/2014/main" id="{E0289CB2-1837-4024-A76F-03416D31BB66}"/>
            </a:ext>
          </a:extLst>
        </xdr:cNvPr>
        <xdr:cNvSpPr/>
      </xdr:nvSpPr>
      <xdr:spPr>
        <a:xfrm>
          <a:off x="7996517" y="4688542"/>
          <a:ext cx="421342" cy="432995"/>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959223</xdr:colOff>
      <xdr:row>15</xdr:row>
      <xdr:rowOff>170329</xdr:rowOff>
    </xdr:from>
    <xdr:to>
      <xdr:col>11</xdr:col>
      <xdr:colOff>977153</xdr:colOff>
      <xdr:row>24</xdr:row>
      <xdr:rowOff>26894</xdr:rowOff>
    </xdr:to>
    <xdr:cxnSp macro="">
      <xdr:nvCxnSpPr>
        <xdr:cNvPr id="10" name="Straight Arrow Connector 9">
          <a:extLst>
            <a:ext uri="{FF2B5EF4-FFF2-40B4-BE49-F238E27FC236}">
              <a16:creationId xmlns:a16="http://schemas.microsoft.com/office/drawing/2014/main" id="{3D5F9837-AD2B-4D48-99AE-D1D3A5718320}"/>
            </a:ext>
          </a:extLst>
        </xdr:cNvPr>
        <xdr:cNvCxnSpPr/>
      </xdr:nvCxnSpPr>
      <xdr:spPr>
        <a:xfrm>
          <a:off x="8095129" y="3263153"/>
          <a:ext cx="17930" cy="14702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376517</xdr:colOff>
      <xdr:row>9</xdr:row>
      <xdr:rowOff>152401</xdr:rowOff>
    </xdr:from>
    <xdr:to>
      <xdr:col>8</xdr:col>
      <xdr:colOff>188259</xdr:colOff>
      <xdr:row>12</xdr:row>
      <xdr:rowOff>0</xdr:rowOff>
    </xdr:to>
    <xdr:sp macro="" textlink="">
      <xdr:nvSpPr>
        <xdr:cNvPr id="11" name="Oval 10">
          <a:extLst>
            <a:ext uri="{FF2B5EF4-FFF2-40B4-BE49-F238E27FC236}">
              <a16:creationId xmlns:a16="http://schemas.microsoft.com/office/drawing/2014/main" id="{E174BA53-46CE-4348-A7B8-C90BB76C1D09}"/>
            </a:ext>
          </a:extLst>
        </xdr:cNvPr>
        <xdr:cNvSpPr/>
      </xdr:nvSpPr>
      <xdr:spPr>
        <a:xfrm>
          <a:off x="4643717" y="2366683"/>
          <a:ext cx="421342" cy="385482"/>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8</xdr:col>
      <xdr:colOff>179294</xdr:colOff>
      <xdr:row>11</xdr:row>
      <xdr:rowOff>80682</xdr:rowOff>
    </xdr:from>
    <xdr:to>
      <xdr:col>10</xdr:col>
      <xdr:colOff>1030943</xdr:colOff>
      <xdr:row>15</xdr:row>
      <xdr:rowOff>8965</xdr:rowOff>
    </xdr:to>
    <xdr:cxnSp macro="">
      <xdr:nvCxnSpPr>
        <xdr:cNvPr id="13" name="Straight Arrow Connector 12">
          <a:extLst>
            <a:ext uri="{FF2B5EF4-FFF2-40B4-BE49-F238E27FC236}">
              <a16:creationId xmlns:a16="http://schemas.microsoft.com/office/drawing/2014/main" id="{75358824-59E4-4E38-BD1D-5DDADA26F4AA}"/>
            </a:ext>
          </a:extLst>
        </xdr:cNvPr>
        <xdr:cNvCxnSpPr/>
      </xdr:nvCxnSpPr>
      <xdr:spPr>
        <a:xfrm flipH="1" flipV="1">
          <a:off x="5056094" y="2653553"/>
          <a:ext cx="2070849" cy="6454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457200</xdr:colOff>
      <xdr:row>11</xdr:row>
      <xdr:rowOff>83821</xdr:rowOff>
    </xdr:from>
    <xdr:to>
      <xdr:col>11</xdr:col>
      <xdr:colOff>266700</xdr:colOff>
      <xdr:row>22</xdr:row>
      <xdr:rowOff>106681</xdr:rowOff>
    </xdr:to>
    <mc:AlternateContent xmlns:mc="http://schemas.openxmlformats.org/markup-compatibility/2006" xmlns:a14="http://schemas.microsoft.com/office/drawing/2010/main">
      <mc:Choice Requires="a14">
        <xdr:graphicFrame macro="">
          <xdr:nvGraphicFramePr>
            <xdr:cNvPr id="2" name="Geography">
              <a:extLst>
                <a:ext uri="{FF2B5EF4-FFF2-40B4-BE49-F238E27FC236}">
                  <a16:creationId xmlns:a16="http://schemas.microsoft.com/office/drawing/2014/main" id="{D38549A5-CB29-4324-A53B-FCBA8CD182E2}"/>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8503920" y="2499361"/>
              <a:ext cx="1828800" cy="2034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583163</xdr:colOff>
      <xdr:row>5</xdr:row>
      <xdr:rowOff>124408</xdr:rowOff>
    </xdr:from>
    <xdr:to>
      <xdr:col>3</xdr:col>
      <xdr:colOff>1111898</xdr:colOff>
      <xdr:row>5</xdr:row>
      <xdr:rowOff>124408</xdr:rowOff>
    </xdr:to>
    <xdr:cxnSp macro="">
      <xdr:nvCxnSpPr>
        <xdr:cNvPr id="8" name="Straight Arrow Connector 7">
          <a:extLst>
            <a:ext uri="{FF2B5EF4-FFF2-40B4-BE49-F238E27FC236}">
              <a16:creationId xmlns:a16="http://schemas.microsoft.com/office/drawing/2014/main" id="{04365353-B202-4DA4-B41B-48807E2427E0}"/>
            </a:ext>
          </a:extLst>
        </xdr:cNvPr>
        <xdr:cNvCxnSpPr/>
      </xdr:nvCxnSpPr>
      <xdr:spPr>
        <a:xfrm>
          <a:off x="2161592" y="1461796"/>
          <a:ext cx="52873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586740</xdr:colOff>
      <xdr:row>12</xdr:row>
      <xdr:rowOff>15241</xdr:rowOff>
    </xdr:from>
    <xdr:to>
      <xdr:col>12</xdr:col>
      <xdr:colOff>0</xdr:colOff>
      <xdr:row>23</xdr:row>
      <xdr:rowOff>60961</xdr:rowOff>
    </xdr:to>
    <mc:AlternateContent xmlns:mc="http://schemas.openxmlformats.org/markup-compatibility/2006" xmlns:a14="http://schemas.microsoft.com/office/drawing/2010/main">
      <mc:Choice Requires="a14">
        <xdr:graphicFrame macro="">
          <xdr:nvGraphicFramePr>
            <xdr:cNvPr id="2" name="Geography 1">
              <a:extLst>
                <a:ext uri="{FF2B5EF4-FFF2-40B4-BE49-F238E27FC236}">
                  <a16:creationId xmlns:a16="http://schemas.microsoft.com/office/drawing/2014/main" id="{EF257A92-B95A-48D1-9F6B-865855A8EB1D}"/>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6096000" y="2613661"/>
              <a:ext cx="182880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rajan" refreshedDate="46190.882311689813" backgroundQuery="1" createdVersion="7" refreshedVersion="7" minRefreshableVersion="3" recordCount="0" supportSubquery="1" supportAdvancedDrill="1" xr:uid="{2260283E-E59C-4602-AC58-821E3ECDFA68}">
  <cacheSource type="external" connectionId="1"/>
  <cacheFields count="4">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Price per Unit]" caption="Price per Unit" numFmtId="0" hierarchy="11" level="32767"/>
    <cacheField name="[Measures].[Sum of Amount]" caption="Sum of Amount" numFmtId="0" hierarchy="7" level="32767"/>
    <cacheField name="[Measures].[Sum of Units]" caption="Sum of Units" numFmtId="0" hierarchy="8" level="32767"/>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2"/>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oneField="1">
      <fieldsUsage count="1">
        <fieldUsage x="3"/>
      </fieldsUsage>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Price per Unit]" caption="Price per Unit" measure="1" displayFolder="" measureGroup="data" count="0" oneField="1">
      <fieldsUsage count="1">
        <fieldUsage x="1"/>
      </fieldsUsage>
    </cacheHierarchy>
    <cacheHierarchy uniqueName="[Measures].[Total Profit]" caption="Total Profit" measure="1" displayFolder="" measureGroup="data" count="0"/>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rajan" refreshedDate="46190.882310416666" backgroundQuery="1" createdVersion="7" refreshedVersion="7" minRefreshableVersion="3" recordCount="0" supportSubquery="1" supportAdvancedDrill="1" xr:uid="{2500F220-63D1-47EE-9C80-7AC5F363CD88}">
  <cacheSource type="external" connectionId="1"/>
  <cacheFields count="4">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Sum of Cost]" caption="Sum of Cost" numFmtId="0" hierarchy="10" level="32767"/>
    <cacheField name="[Measures].[Sum of Amount]" caption="Sum of Amount" numFmtId="0" hierarchy="7" level="32767"/>
    <cacheField name="[Measures].[Total Profit]" caption="Total Profit" numFmtId="0" hierarchy="12" level="32767"/>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2"/>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oneField="1">
      <fieldsUsage count="1">
        <fieldUsage x="1"/>
      </fieldsUsage>
      <extLst>
        <ext xmlns:x15="http://schemas.microsoft.com/office/spreadsheetml/2010/11/main" uri="{B97F6D7D-B522-45F9-BDA1-12C45D357490}">
          <x15:cacheHierarchy aggregatedColumn="6"/>
        </ext>
      </extLst>
    </cacheHierarchy>
    <cacheHierarchy uniqueName="[Measures].[Price per Unit]" caption="Price per Unit" measure="1" displayFolder="" measureGroup="data" count="0"/>
    <cacheHierarchy uniqueName="[Measures].[Total Profit]" caption="Total Profit" measure="1" displayFolder="" measureGroup="data" count="0" oneField="1">
      <fieldsUsage count="1">
        <fieldUsage x="3"/>
      </fieldsUsage>
    </cacheHierarchy>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rajan" refreshedDate="46191.606731828702" backgroundQuery="1" createdVersion="7" refreshedVersion="7" minRefreshableVersion="3" recordCount="0" supportSubquery="1" supportAdvancedDrill="1" xr:uid="{6E249530-EADA-4465-9D0A-2062181D1113}">
  <cacheSource type="external" connectionId="1"/>
  <cacheFields count="6">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ganic Choco Syrup"/>
        <s v="Peanut Butter Cubes"/>
        <s v="Smooth Sliky Salty"/>
        <s v="Spicy Special Slims"/>
        <s v="White Choc"/>
        <s v="Orange Choco" u="1"/>
        <s v="Raspberry Choco" u="1"/>
      </sharedItems>
    </cacheField>
    <cacheField name="[Measures].[Sum of Amount]" caption="Sum of Amount" numFmtId="0" hierarchy="7" level="32767"/>
    <cacheField name="[Measures].[Sum of Cost]" caption="Sum of Cost" numFmtId="0" hierarchy="10" level="32767"/>
    <cacheField name="[Measures].[Total Profit]" caption="Total Profit" numFmtId="0" hierarchy="12" level="32767"/>
    <cacheField name="[Measures].[Profit %]" caption="Profit %" numFmtId="0" hierarchy="13" level="32767"/>
    <cacheField name="[data].[Geography].[Geography]" caption="Geography" numFmtId="0" hierarchy="1" level="1">
      <sharedItems containsSemiMixedTypes="0" containsNonDate="0" containsString="0"/>
    </cacheField>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5"/>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1"/>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oneField="1">
      <fieldsUsage count="1">
        <fieldUsage x="2"/>
      </fieldsUsage>
      <extLst>
        <ext xmlns:x15="http://schemas.microsoft.com/office/spreadsheetml/2010/11/main" uri="{B97F6D7D-B522-45F9-BDA1-12C45D357490}">
          <x15:cacheHierarchy aggregatedColumn="6"/>
        </ext>
      </extLst>
    </cacheHierarchy>
    <cacheHierarchy uniqueName="[Measures].[Price per Unit]" caption="Price per Unit" measure="1" displayFolder="" measureGroup="data" count="0"/>
    <cacheHierarchy uniqueName="[Measures].[Total Profit]" caption="Total Profit" measure="1" displayFolder="" measureGroup="data" count="0" oneField="1">
      <fieldsUsage count="1">
        <fieldUsage x="3"/>
      </fieldsUsage>
    </cacheHierarchy>
    <cacheHierarchy uniqueName="[Measures].[Profit %]" caption="Profit %" measure="1" displayFolder="" measureGroup="data" count="0" oneField="1">
      <fieldsUsage count="1">
        <fieldUsage x="4"/>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rajan" refreshedDate="46191.683781481479" backgroundQuery="1" createdVersion="7" refreshedVersion="7" minRefreshableVersion="3" recordCount="0" supportSubquery="1" supportAdvancedDrill="1" xr:uid="{4A9CFF1F-9AE6-4A84-AF95-8B973E2D9D66}">
  <cacheSource type="external" connectionId="1"/>
  <cacheFields count="2">
    <cacheField name="[data].[Product].[Product]" caption="Product" numFmtId="0" hierarchy="2" level="1">
      <sharedItems count="5">
        <s v="85% Dark Bars"/>
        <s v="After Nines"/>
        <s v="Baker's Choco Chips"/>
        <s v="Peanut Butter Cubes"/>
        <s v="Raspberry Choco"/>
      </sharedItems>
    </cacheField>
    <cacheField name="[Measures].[Price per Unit]" caption="Price per Unit" numFmtId="0" hierarchy="11" level="32767"/>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Price per Unit]" caption="Price per Unit" measure="1" displayFolder="" measureGroup="data" count="0" oneField="1">
      <fieldsUsage count="1">
        <fieldUsage x="1"/>
      </fieldsUsage>
    </cacheHierarchy>
    <cacheHierarchy uniqueName="[Measures].[Total Profit]" caption="Total Profit" measure="1" displayFolder="" measureGroup="data" count="0"/>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n rajan" refreshedDate="46192.418924768521" createdVersion="7" refreshedVersion="7" minRefreshableVersion="3" recordCount="300" xr:uid="{32B7107C-95B3-4C08-9C4E-414675AE655F}">
  <cacheSource type="worksheet">
    <worksheetSource name="data"/>
  </cacheSource>
  <cacheFields count="7">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acheField>
    <cacheField name="Amount" numFmtId="164">
      <sharedItems containsSemiMixedTypes="0" containsString="0" containsNumber="1" containsInteger="1" minValue="0" maxValue="16184"/>
    </cacheField>
    <cacheField name="Units" numFmtId="3">
      <sharedItems containsSemiMixedTypes="0" containsString="0" containsNumber="1" containsInteger="1" minValue="0" maxValue="525"/>
    </cacheField>
    <cacheField name="Cost per Unit" numFmtId="0">
      <sharedItems containsSemiMixedTypes="0" containsString="0" containsNumber="1" minValue="3.11" maxValue="16.73"/>
    </cacheField>
    <cacheField name="Cost" numFmtId="0">
      <sharedItems containsSemiMixedTypes="0" containsString="0" containsNumber="1" minValue="0" maxValue="8682.8700000000008" count="282">
        <n v="1651.8600000000001"/>
        <n v="3970.3500000000004"/>
        <n v="1746.3600000000001"/>
        <n v="1863.36"/>
        <n v="5444.1"/>
        <n v="5343.8399999999992"/>
        <n v="312.66000000000003"/>
        <n v="2051.6999999999998"/>
        <n v="877.5"/>
        <n v="140.39999999999998"/>
        <n v="6075.3"/>
        <n v="447.84"/>
        <n v="1054.8"/>
        <n v="503.82"/>
        <n v="3077.1"/>
        <n v="472.56"/>
        <n v="503.73"/>
        <n v="3600.18"/>
        <n v="1406.8799999999999"/>
        <n v="1720.4399999999998"/>
        <n v="584.1"/>
        <n v="1518.66"/>
        <n v="1377.57"/>
        <n v="1558.56"/>
        <n v="2181.7800000000002"/>
        <n v="2155.23"/>
        <n v="1476.7199999999998"/>
        <n v="2070.8999999999996"/>
        <n v="97.350000000000009"/>
        <n v="194.70000000000002"/>
        <n v="506.94"/>
        <n v="114.6"/>
        <n v="2651.67"/>
        <n v="117.24"/>
        <n v="842.4"/>
        <n v="4717.8599999999997"/>
        <n v="1494.72"/>
        <n v="3559.95"/>
        <n v="648.75"/>
        <n v="2258.5500000000002"/>
        <n v="351.33"/>
        <n v="992.97"/>
        <n v="175.95000000000002"/>
        <n v="2983.5"/>
        <n v="137.51999999999998"/>
        <n v="1226.6100000000001"/>
        <n v="181.65"/>
        <n v="316.43999999999994"/>
        <n v="537"/>
        <n v="485.15999999999997"/>
        <n v="342.80999999999995"/>
        <n v="567"/>
        <n v="1899.5400000000002"/>
        <n v="643.77"/>
        <n v="394.5"/>
        <n v="121.28999999999999"/>
        <n v="4359.6000000000004"/>
        <n v="1954.68"/>
        <n v="277.92"/>
        <n v="3463.11"/>
        <n v="77.850000000000009"/>
        <n v="1693.89"/>
        <n v="52.739999999999995"/>
        <n v="351.90000000000003"/>
        <n v="1465.56"/>
        <n v="345.21"/>
        <n v="97.05"/>
        <n v="1237.6799999999998"/>
        <n v="1489.8"/>
        <n v="6142.5"/>
        <n v="593.76"/>
        <n v="1557.0000000000002"/>
        <n v="5225.04"/>
        <n v="730.32"/>
        <n v="1070.8500000000001"/>
        <n v="3207.42"/>
        <n v="890.4"/>
        <n v="2357.73"/>
        <n v="1215.9000000000001"/>
        <n v="475.83"/>
        <n v="512.85"/>
        <n v="1805.1299999999999"/>
        <n v="1147.5899999999999"/>
        <n v="1355.13"/>
        <n v="160.44"/>
        <n v="1681.5600000000002"/>
        <n v="2052"/>
        <n v="2448.7200000000003"/>
        <n v="2242.0800000000004"/>
        <n v="302.39999999999998"/>
        <n v="986.25"/>
        <n v="603.57000000000005"/>
        <n v="2051.4"/>
        <n v="27.99"/>
        <n v="2024.1000000000001"/>
        <n v="3238.5600000000004"/>
        <n v="2292"/>
        <n v="8682.8700000000008"/>
        <n v="81"/>
        <n v="106.92"/>
        <n v="1113.3"/>
        <n v="1262.4000000000001"/>
        <n v="184.58999999999997"/>
        <n v="268.79999999999995"/>
        <n v="1204.56"/>
        <n v="1202.8800000000001"/>
        <n v="285.59999999999997"/>
        <n v="1466.8799999999999"/>
        <n v="2632.5"/>
        <n v="2553.6"/>
        <n v="1222.95"/>
        <n v="570.24"/>
        <n v="659.93999999999994"/>
        <n v="3651.48"/>
        <n v="892.86"/>
        <n v="1183.5"/>
        <n v="3477.6"/>
        <n v="1211.76"/>
        <n v="2158.17"/>
        <n v="5019"/>
        <n v="1669.9499999999998"/>
        <n v="566.57999999999993"/>
        <n v="737.09999999999991"/>
        <n v="1804.32"/>
        <n v="2620.9500000000003"/>
        <n v="765.06"/>
        <n v="820.68"/>
        <n v="1082.28"/>
        <n v="732.75"/>
        <n v="2678.0400000000004"/>
        <n v="83.97"/>
        <n v="1842.45"/>
        <n v="2556.12"/>
        <n v="2459.1600000000003"/>
        <n v="2173.5"/>
        <n v="1142.3999999999999"/>
        <n v="2152.3799999999997"/>
        <n v="625.11"/>
        <n v="4758.3"/>
        <n v="2706.48"/>
        <n v="243"/>
        <n v="1028.4299999999998"/>
        <n v="324"/>
        <n v="1558.62"/>
        <n v="946.80000000000007"/>
        <n v="410.34"/>
        <n v="966.6"/>
        <n v="939.32999999999993"/>
        <n v="4764.42"/>
        <n v="5303.34"/>
        <n v="2319.84"/>
        <n v="2850.3900000000003"/>
        <n v="1917"/>
        <n v="6477.03"/>
        <n v="2771.01"/>
        <n v="237.32999999999998"/>
        <n v="486.75"/>
        <n v="371.09999999999997"/>
        <n v="1145.19"/>
        <n v="1966.83"/>
        <n v="3785.22"/>
        <n v="191.16"/>
        <n v="1833.6"/>
        <n v="1150.4099999999999"/>
        <n v="50.4"/>
        <n v="1925.0099999999998"/>
        <n v="1306.26"/>
        <n v="253.47"/>
        <n v="1425.6000000000001"/>
        <n v="151.19999999999999"/>
        <n v="3412.92"/>
        <n v="280.26000000000005"/>
        <n v="991.19999999999993"/>
        <n v="957.59999999999991"/>
        <n v="3229.2"/>
        <n v="251.99999999999997"/>
        <n v="322.2"/>
        <n v="2961.21"/>
        <n v="587.79"/>
        <n v="1319.8799999999999"/>
        <n v="1905.1499999999999"/>
        <n v="4317.3"/>
        <n v="552.30000000000007"/>
        <n v="1173.69"/>
        <n v="1377.6"/>
        <n v="541.14"/>
        <n v="3634.44"/>
        <n v="1529.4599999999998"/>
        <n v="726.6"/>
        <n v="1977.7499999999998"/>
        <n v="1521.45"/>
        <n v="2335.5"/>
        <n v="631.79999999999995"/>
        <n v="0"/>
        <n v="849.87"/>
        <n v="1661.31"/>
        <n v="1746.8999999999999"/>
        <n v="912.87"/>
        <n v="276.15000000000003"/>
        <n v="2022.3899999999999"/>
        <n v="1019.52"/>
        <n v="791.37"/>
        <n v="1520.82"/>
        <n v="2511"/>
        <n v="35.64"/>
        <n v="3312.54"/>
        <n v="1611.03"/>
        <n v="659.24999999999989"/>
        <n v="1634.8500000000001"/>
        <n v="752.55000000000007"/>
        <n v="2521.2600000000002"/>
        <n v="422.28000000000003"/>
        <n v="298.2"/>
        <n v="506.22"/>
        <n v="825.93000000000006"/>
        <n v="467.1"/>
        <n v="29.31"/>
        <n v="70.38"/>
        <n v="19.41"/>
        <n v="1667.52"/>
        <n v="279.89999999999998"/>
        <n v="487.2"/>
        <n v="501.90000000000003"/>
        <n v="1283.52"/>
        <n v="5119.38"/>
        <n v="4775.76"/>
        <n v="3394.26"/>
        <n v="1555.89"/>
        <n v="1123.1999999999998"/>
        <n v="174.69"/>
        <n v="554.4"/>
        <n v="1076.1899999999998"/>
        <n v="2592"/>
        <n v="3855.0599999999995"/>
        <n v="270.57"/>
        <n v="466.5"/>
        <n v="942.32999999999993"/>
        <n v="2989.44"/>
        <n v="699.75"/>
        <n v="225.81"/>
        <n v="1063.95"/>
        <n v="427.68"/>
        <n v="2315.4899999999998"/>
        <n v="1875.33"/>
        <n v="149.28"/>
        <n v="783"/>
        <n v="4520.88"/>
        <n v="1058.76"/>
        <n v="702"/>
        <n v="759.33"/>
        <n v="756.36"/>
        <n v="238.56"/>
        <n v="281.52"/>
        <n v="492.66"/>
        <n v="2867.3999999999996"/>
        <n v="973.5"/>
        <n v="902.16"/>
        <n v="33.599999999999994"/>
        <n v="3237.48"/>
        <n v="289.22999999999996"/>
        <n v="1424.34"/>
        <n v="14.91"/>
        <n v="1053.99"/>
        <n v="916.8"/>
        <n v="2014.92"/>
        <n v="817.74"/>
        <n v="1782.27"/>
        <n v="591.75"/>
        <n v="1496.88"/>
        <n v="515.52"/>
        <n v="234.48"/>
        <n v="677.43"/>
        <n v="365.16"/>
        <n v="233.64000000000001"/>
        <n v="2409.12"/>
        <n v="1499.1000000000001"/>
        <n v="782.46"/>
        <n v="2927.0699999999997"/>
        <n v="4348.08"/>
        <n v="1696.8"/>
        <n v="2709.63"/>
        <n v="1341.3"/>
      </sharedItems>
    </cacheField>
  </cacheFields>
  <extLst>
    <ext xmlns:x14="http://schemas.microsoft.com/office/spreadsheetml/2009/9/main" uri="{725AE2AE-9491-48be-B2B4-4EB974FC3084}">
      <x14:pivotCacheDefinition pivotCacheId="88257279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rajan" refreshedDate="46197.992208449075" backgroundQuery="1" createdVersion="7" refreshedVersion="7" minRefreshableVersion="3" recordCount="0" supportSubquery="1" supportAdvancedDrill="1" xr:uid="{7869BA26-7F35-4E2B-94A1-E3E54DC488B9}">
  <cacheSource type="external" connectionId="1"/>
  <cacheFields count="3">
    <cacheField name="[data].[Product].[Product]" caption="Product" numFmtId="0" hierarchy="2" level="1">
      <sharedItems count="21">
        <s v="50% Dark Bites"/>
        <s v="70% Dark Bites"/>
        <s v="85% Dark Bars"/>
        <s v="99% Dark &amp; Pure"/>
        <s v="After Nines"/>
        <s v="Almond Choco"/>
        <s v="Baker's Choco Chips"/>
        <s v="Caramel Stuffed Bars"/>
        <s v="Choco Coated Almonds"/>
        <s v="Eclairs"/>
        <s v="Fruit &amp; Nut Bars"/>
        <s v="Manuka Honey Choco"/>
        <s v="Milk Bars"/>
        <s v="Mint Chip Choco"/>
        <s v="Orange Choco"/>
        <s v="Organic Choco Syrup"/>
        <s v="Peanut Butter Cubes"/>
        <s v="Raspberry Choco"/>
        <s v="Smooth Sliky Salty"/>
        <s v="Spicy Special Slims"/>
        <s v="White Choc"/>
      </sharedItems>
    </cacheField>
    <cacheField name="[Measures].[Total Profit]" caption="Total Profit" numFmtId="0" hierarchy="12" level="32767"/>
    <cacheField name="[data].[Geography].[Geography]" caption="Geography" numFmtId="0" hierarchy="1" level="1">
      <sharedItems containsSemiMixedTypes="0" containsNonDate="0" containsString="0"/>
    </cacheField>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Price per Unit]" caption="Price per Unit" measure="1" displayFolder="" measureGroup="data" count="0"/>
    <cacheHierarchy uniqueName="[Measures].[Total Profit]" caption="Total Profit" measure="1" displayFolder="" measureGroup="data" count="0" oneField="1">
      <fieldsUsage count="1">
        <fieldUsage x="1"/>
      </fieldsUsage>
    </cacheHierarchy>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n rajan" refreshedDate="46190.88489872685" backgroundQuery="1" createdVersion="3" refreshedVersion="7" minRefreshableVersion="3" recordCount="0" supportSubquery="1" supportAdvancedDrill="1" xr:uid="{15DD28C3-AE2C-49EC-BB6D-12F4775B657C}">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per Unit]" caption="Sum of Cost per Unit" measure="1" displayFolder="" measureGroup="data" count="0">
      <extLst>
        <ext xmlns:x15="http://schemas.microsoft.com/office/spreadsheetml/2010/11/main" uri="{B97F6D7D-B522-45F9-BDA1-12C45D357490}">
          <x15:cacheHierarchy aggregatedColumn="5"/>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Price per Unit]" caption="Price per Unit" measure="1" displayFolder="" measureGroup="data" count="0"/>
    <cacheHierarchy uniqueName="[Measures].[Total Profit]" caption="Total Prof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9405464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s v="70% Dark Bites"/>
    <n v="1624"/>
    <n v="114"/>
    <n v="14.49"/>
    <x v="0"/>
  </r>
  <r>
    <x v="1"/>
    <x v="1"/>
    <s v="Choco Coated Almonds"/>
    <n v="6706"/>
    <n v="459"/>
    <n v="8.65"/>
    <x v="1"/>
  </r>
  <r>
    <x v="2"/>
    <x v="1"/>
    <s v="Almond Choco"/>
    <n v="959"/>
    <n v="147"/>
    <n v="11.88"/>
    <x v="2"/>
  </r>
  <r>
    <x v="3"/>
    <x v="2"/>
    <s v="Drinking Coco"/>
    <n v="9632"/>
    <n v="288"/>
    <n v="6.47"/>
    <x v="3"/>
  </r>
  <r>
    <x v="4"/>
    <x v="3"/>
    <s v="White Choc"/>
    <n v="2100"/>
    <n v="414"/>
    <n v="13.15"/>
    <x v="4"/>
  </r>
  <r>
    <x v="0"/>
    <x v="1"/>
    <s v="Peanut Butter Cubes"/>
    <n v="8869"/>
    <n v="432"/>
    <n v="12.37"/>
    <x v="5"/>
  </r>
  <r>
    <x v="4"/>
    <x v="4"/>
    <s v="Smooth Sliky Salty"/>
    <n v="2681"/>
    <n v="54"/>
    <n v="5.79"/>
    <x v="6"/>
  </r>
  <r>
    <x v="1"/>
    <x v="1"/>
    <s v="After Nines"/>
    <n v="5012"/>
    <n v="210"/>
    <n v="9.77"/>
    <x v="7"/>
  </r>
  <r>
    <x v="5"/>
    <x v="4"/>
    <s v="50% Dark Bites"/>
    <n v="1281"/>
    <n v="75"/>
    <n v="11.7"/>
    <x v="8"/>
  </r>
  <r>
    <x v="6"/>
    <x v="0"/>
    <s v="50% Dark Bites"/>
    <n v="4991"/>
    <n v="12"/>
    <n v="11.7"/>
    <x v="9"/>
  </r>
  <r>
    <x v="7"/>
    <x v="3"/>
    <s v="White Choc"/>
    <n v="1785"/>
    <n v="462"/>
    <n v="13.15"/>
    <x v="10"/>
  </r>
  <r>
    <x v="8"/>
    <x v="0"/>
    <s v="Eclairs"/>
    <n v="3983"/>
    <n v="144"/>
    <n v="3.11"/>
    <x v="11"/>
  </r>
  <r>
    <x v="2"/>
    <x v="4"/>
    <s v="Mint Chip Choco"/>
    <n v="2646"/>
    <n v="120"/>
    <n v="8.7899999999999991"/>
    <x v="12"/>
  </r>
  <r>
    <x v="7"/>
    <x v="5"/>
    <s v="Milk Bars"/>
    <n v="252"/>
    <n v="54"/>
    <n v="9.33"/>
    <x v="13"/>
  </r>
  <r>
    <x v="8"/>
    <x v="1"/>
    <s v="White Choc"/>
    <n v="2464"/>
    <n v="234"/>
    <n v="13.15"/>
    <x v="14"/>
  </r>
  <r>
    <x v="8"/>
    <x v="1"/>
    <s v="Manuka Honey Choco"/>
    <n v="2114"/>
    <n v="66"/>
    <n v="7.16"/>
    <x v="15"/>
  </r>
  <r>
    <x v="4"/>
    <x v="0"/>
    <s v="Smooth Sliky Salty"/>
    <n v="7693"/>
    <n v="87"/>
    <n v="5.79"/>
    <x v="16"/>
  </r>
  <r>
    <x v="6"/>
    <x v="5"/>
    <s v="Orange Choco"/>
    <n v="15610"/>
    <n v="339"/>
    <n v="10.62"/>
    <x v="17"/>
  </r>
  <r>
    <x v="3"/>
    <x v="5"/>
    <s v="After Nines"/>
    <n v="336"/>
    <n v="144"/>
    <n v="9.77"/>
    <x v="18"/>
  </r>
  <r>
    <x v="7"/>
    <x v="3"/>
    <s v="Orange Choco"/>
    <n v="9443"/>
    <n v="162"/>
    <n v="10.62"/>
    <x v="19"/>
  </r>
  <r>
    <x v="2"/>
    <x v="5"/>
    <s v="Fruit &amp; Nut Bars"/>
    <n v="8155"/>
    <n v="90"/>
    <n v="6.49"/>
    <x v="20"/>
  </r>
  <r>
    <x v="1"/>
    <x v="4"/>
    <s v="Fruit &amp; Nut Bars"/>
    <n v="1701"/>
    <n v="234"/>
    <n v="6.49"/>
    <x v="21"/>
  </r>
  <r>
    <x v="9"/>
    <x v="4"/>
    <s v="After Nines"/>
    <n v="2205"/>
    <n v="141"/>
    <n v="9.77"/>
    <x v="22"/>
  </r>
  <r>
    <x v="1"/>
    <x v="0"/>
    <s v="99% Dark &amp; Pure"/>
    <n v="1771"/>
    <n v="204"/>
    <n v="7.64"/>
    <x v="23"/>
  </r>
  <r>
    <x v="3"/>
    <x v="1"/>
    <s v="Raspberry Choco"/>
    <n v="2114"/>
    <n v="186"/>
    <n v="11.73"/>
    <x v="24"/>
  </r>
  <r>
    <x v="3"/>
    <x v="2"/>
    <s v="Milk Bars"/>
    <n v="10311"/>
    <n v="231"/>
    <n v="9.33"/>
    <x v="25"/>
  </r>
  <r>
    <x v="8"/>
    <x v="3"/>
    <s v="Mint Chip Choco"/>
    <n v="21"/>
    <n v="168"/>
    <n v="8.7899999999999991"/>
    <x v="26"/>
  </r>
  <r>
    <x v="9"/>
    <x v="1"/>
    <s v="Orange Choco"/>
    <n v="1974"/>
    <n v="195"/>
    <n v="10.62"/>
    <x v="27"/>
  </r>
  <r>
    <x v="6"/>
    <x v="2"/>
    <s v="Fruit &amp; Nut Bars"/>
    <n v="6314"/>
    <n v="15"/>
    <n v="6.49"/>
    <x v="28"/>
  </r>
  <r>
    <x v="9"/>
    <x v="0"/>
    <s v="Fruit &amp; Nut Bars"/>
    <n v="4683"/>
    <n v="30"/>
    <n v="6.49"/>
    <x v="29"/>
  </r>
  <r>
    <x v="3"/>
    <x v="0"/>
    <s v="85% Dark Bars"/>
    <n v="6398"/>
    <n v="102"/>
    <n v="4.97"/>
    <x v="30"/>
  </r>
  <r>
    <x v="7"/>
    <x v="1"/>
    <s v="99% Dark &amp; Pure"/>
    <n v="553"/>
    <n v="15"/>
    <n v="7.64"/>
    <x v="31"/>
  </r>
  <r>
    <x v="1"/>
    <x v="3"/>
    <s v="70% Dark Bites"/>
    <n v="7021"/>
    <n v="183"/>
    <n v="14.49"/>
    <x v="32"/>
  </r>
  <r>
    <x v="0"/>
    <x v="3"/>
    <s v="After Nines"/>
    <n v="5817"/>
    <n v="12"/>
    <n v="9.77"/>
    <x v="33"/>
  </r>
  <r>
    <x v="3"/>
    <x v="3"/>
    <s v="50% Dark Bites"/>
    <n v="3976"/>
    <n v="72"/>
    <n v="11.7"/>
    <x v="34"/>
  </r>
  <r>
    <x v="4"/>
    <x v="4"/>
    <s v="Organic Choco Syrup"/>
    <n v="1134"/>
    <n v="282"/>
    <n v="16.73"/>
    <x v="35"/>
  </r>
  <r>
    <x v="7"/>
    <x v="3"/>
    <s v="Caramel Stuffed Bars"/>
    <n v="6027"/>
    <n v="144"/>
    <n v="10.38"/>
    <x v="36"/>
  </r>
  <r>
    <x v="4"/>
    <x v="0"/>
    <s v="Mint Chip Choco"/>
    <n v="1904"/>
    <n v="405"/>
    <n v="8.7899999999999991"/>
    <x v="37"/>
  </r>
  <r>
    <x v="5"/>
    <x v="5"/>
    <s v="Choco Coated Almonds"/>
    <n v="3262"/>
    <n v="75"/>
    <n v="8.65"/>
    <x v="38"/>
  </r>
  <r>
    <x v="0"/>
    <x v="5"/>
    <s v="Organic Choco Syrup"/>
    <n v="2289"/>
    <n v="135"/>
    <n v="16.73"/>
    <x v="39"/>
  </r>
  <r>
    <x v="6"/>
    <x v="5"/>
    <s v="Organic Choco Syrup"/>
    <n v="6986"/>
    <n v="21"/>
    <n v="16.73"/>
    <x v="40"/>
  </r>
  <r>
    <x v="7"/>
    <x v="4"/>
    <s v="Fruit &amp; Nut Bars"/>
    <n v="4417"/>
    <n v="153"/>
    <n v="6.49"/>
    <x v="41"/>
  </r>
  <r>
    <x v="4"/>
    <x v="5"/>
    <s v="Raspberry Choco"/>
    <n v="1442"/>
    <n v="15"/>
    <n v="11.73"/>
    <x v="42"/>
  </r>
  <r>
    <x v="8"/>
    <x v="1"/>
    <s v="50% Dark Bites"/>
    <n v="2415"/>
    <n v="255"/>
    <n v="11.7"/>
    <x v="43"/>
  </r>
  <r>
    <x v="7"/>
    <x v="0"/>
    <s v="99% Dark &amp; Pure"/>
    <n v="238"/>
    <n v="18"/>
    <n v="7.64"/>
    <x v="44"/>
  </r>
  <r>
    <x v="4"/>
    <x v="0"/>
    <s v="Fruit &amp; Nut Bars"/>
    <n v="4949"/>
    <n v="189"/>
    <n v="6.49"/>
    <x v="45"/>
  </r>
  <r>
    <x v="6"/>
    <x v="4"/>
    <s v="Choco Coated Almonds"/>
    <n v="5075"/>
    <n v="21"/>
    <n v="8.65"/>
    <x v="46"/>
  </r>
  <r>
    <x v="8"/>
    <x v="2"/>
    <s v="Mint Chip Choco"/>
    <n v="9198"/>
    <n v="36"/>
    <n v="8.7899999999999991"/>
    <x v="47"/>
  </r>
  <r>
    <x v="4"/>
    <x v="5"/>
    <s v="Manuka Honey Choco"/>
    <n v="3339"/>
    <n v="75"/>
    <n v="7.16"/>
    <x v="48"/>
  </r>
  <r>
    <x v="0"/>
    <x v="5"/>
    <s v="Eclairs"/>
    <n v="5019"/>
    <n v="156"/>
    <n v="3.11"/>
    <x v="49"/>
  </r>
  <r>
    <x v="6"/>
    <x v="2"/>
    <s v="Mint Chip Choco"/>
    <n v="16184"/>
    <n v="39"/>
    <n v="8.7899999999999991"/>
    <x v="50"/>
  </r>
  <r>
    <x v="4"/>
    <x v="2"/>
    <s v="Spicy Special Slims"/>
    <n v="497"/>
    <n v="63"/>
    <n v="9"/>
    <x v="51"/>
  </r>
  <r>
    <x v="7"/>
    <x v="2"/>
    <s v="Manuka Honey Choco"/>
    <n v="8211"/>
    <n v="75"/>
    <n v="7.16"/>
    <x v="48"/>
  </r>
  <r>
    <x v="7"/>
    <x v="4"/>
    <s v="Caramel Stuffed Bars"/>
    <n v="6580"/>
    <n v="183"/>
    <n v="10.38"/>
    <x v="52"/>
  </r>
  <r>
    <x v="3"/>
    <x v="1"/>
    <s v="Milk Bars"/>
    <n v="4760"/>
    <n v="69"/>
    <n v="9.33"/>
    <x v="53"/>
  </r>
  <r>
    <x v="0"/>
    <x v="2"/>
    <s v="White Choc"/>
    <n v="5439"/>
    <n v="30"/>
    <n v="13.15"/>
    <x v="54"/>
  </r>
  <r>
    <x v="3"/>
    <x v="5"/>
    <s v="Eclairs"/>
    <n v="1463"/>
    <n v="39"/>
    <n v="3.11"/>
    <x v="55"/>
  </r>
  <r>
    <x v="8"/>
    <x v="5"/>
    <s v="Choco Coated Almonds"/>
    <n v="7777"/>
    <n v="504"/>
    <n v="8.65"/>
    <x v="56"/>
  </r>
  <r>
    <x v="2"/>
    <x v="0"/>
    <s v="Manuka Honey Choco"/>
    <n v="1085"/>
    <n v="273"/>
    <n v="7.16"/>
    <x v="57"/>
  </r>
  <r>
    <x v="6"/>
    <x v="0"/>
    <s v="Smooth Sliky Salty"/>
    <n v="182"/>
    <n v="48"/>
    <n v="5.79"/>
    <x v="58"/>
  </r>
  <r>
    <x v="4"/>
    <x v="5"/>
    <s v="Organic Choco Syrup"/>
    <n v="4242"/>
    <n v="207"/>
    <n v="16.73"/>
    <x v="59"/>
  </r>
  <r>
    <x v="4"/>
    <x v="2"/>
    <s v="Choco Coated Almonds"/>
    <n v="6118"/>
    <n v="9"/>
    <n v="8.65"/>
    <x v="60"/>
  </r>
  <r>
    <x v="9"/>
    <x v="2"/>
    <s v="Fruit &amp; Nut Bars"/>
    <n v="2317"/>
    <n v="261"/>
    <n v="6.49"/>
    <x v="61"/>
  </r>
  <r>
    <x v="4"/>
    <x v="4"/>
    <s v="Mint Chip Choco"/>
    <n v="938"/>
    <n v="6"/>
    <n v="8.7899999999999991"/>
    <x v="62"/>
  </r>
  <r>
    <x v="1"/>
    <x v="0"/>
    <s v="Raspberry Choco"/>
    <n v="9709"/>
    <n v="30"/>
    <n v="11.73"/>
    <x v="63"/>
  </r>
  <r>
    <x v="5"/>
    <x v="5"/>
    <s v="Orange Choco"/>
    <n v="2205"/>
    <n v="138"/>
    <n v="10.62"/>
    <x v="64"/>
  </r>
  <r>
    <x v="5"/>
    <x v="0"/>
    <s v="Eclairs"/>
    <n v="4487"/>
    <n v="111"/>
    <n v="3.11"/>
    <x v="65"/>
  </r>
  <r>
    <x v="6"/>
    <x v="1"/>
    <s v="Drinking Coco"/>
    <n v="2415"/>
    <n v="15"/>
    <n v="6.47"/>
    <x v="66"/>
  </r>
  <r>
    <x v="0"/>
    <x v="5"/>
    <s v="99% Dark &amp; Pure"/>
    <n v="4018"/>
    <n v="162"/>
    <n v="7.64"/>
    <x v="67"/>
  </r>
  <r>
    <x v="6"/>
    <x v="5"/>
    <s v="99% Dark &amp; Pure"/>
    <n v="861"/>
    <n v="195"/>
    <n v="7.64"/>
    <x v="68"/>
  </r>
  <r>
    <x v="9"/>
    <x v="4"/>
    <s v="50% Dark Bites"/>
    <n v="5586"/>
    <n v="525"/>
    <n v="11.7"/>
    <x v="69"/>
  </r>
  <r>
    <x v="5"/>
    <x v="5"/>
    <s v="Peanut Butter Cubes"/>
    <n v="2226"/>
    <n v="48"/>
    <n v="12.37"/>
    <x v="70"/>
  </r>
  <r>
    <x v="2"/>
    <x v="5"/>
    <s v="Caramel Stuffed Bars"/>
    <n v="14329"/>
    <n v="150"/>
    <n v="10.38"/>
    <x v="71"/>
  </r>
  <r>
    <x v="2"/>
    <x v="5"/>
    <s v="Orange Choco"/>
    <n v="8463"/>
    <n v="492"/>
    <n v="10.62"/>
    <x v="72"/>
  </r>
  <r>
    <x v="6"/>
    <x v="5"/>
    <s v="Manuka Honey Choco"/>
    <n v="2891"/>
    <n v="102"/>
    <n v="7.16"/>
    <x v="73"/>
  </r>
  <r>
    <x v="8"/>
    <x v="2"/>
    <s v="Fruit &amp; Nut Bars"/>
    <n v="3773"/>
    <n v="165"/>
    <n v="6.49"/>
    <x v="74"/>
  </r>
  <r>
    <x v="3"/>
    <x v="2"/>
    <s v="Caramel Stuffed Bars"/>
    <n v="854"/>
    <n v="309"/>
    <n v="10.38"/>
    <x v="75"/>
  </r>
  <r>
    <x v="4"/>
    <x v="2"/>
    <s v="Eclairs"/>
    <n v="4970"/>
    <n v="156"/>
    <n v="3.11"/>
    <x v="49"/>
  </r>
  <r>
    <x v="2"/>
    <x v="1"/>
    <s v="Baker's Choco Chips"/>
    <n v="98"/>
    <n v="159"/>
    <n v="5.6"/>
    <x v="76"/>
  </r>
  <r>
    <x v="6"/>
    <x v="1"/>
    <s v="Raspberry Choco"/>
    <n v="13391"/>
    <n v="201"/>
    <n v="11.73"/>
    <x v="77"/>
  </r>
  <r>
    <x v="1"/>
    <x v="3"/>
    <s v="Smooth Sliky Salty"/>
    <n v="8890"/>
    <n v="210"/>
    <n v="5.79"/>
    <x v="78"/>
  </r>
  <r>
    <x v="7"/>
    <x v="4"/>
    <s v="Milk Bars"/>
    <n v="56"/>
    <n v="51"/>
    <n v="9.33"/>
    <x v="79"/>
  </r>
  <r>
    <x v="8"/>
    <x v="2"/>
    <s v="White Choc"/>
    <n v="3339"/>
    <n v="39"/>
    <n v="13.15"/>
    <x v="80"/>
  </r>
  <r>
    <x v="9"/>
    <x v="1"/>
    <s v="Drinking Coco"/>
    <n v="3808"/>
    <n v="279"/>
    <n v="6.47"/>
    <x v="81"/>
  </r>
  <r>
    <x v="9"/>
    <x v="4"/>
    <s v="Milk Bars"/>
    <n v="63"/>
    <n v="123"/>
    <n v="9.33"/>
    <x v="82"/>
  </r>
  <r>
    <x v="7"/>
    <x v="3"/>
    <s v="Organic Choco Syrup"/>
    <n v="7812"/>
    <n v="81"/>
    <n v="16.73"/>
    <x v="83"/>
  </r>
  <r>
    <x v="0"/>
    <x v="0"/>
    <s v="99% Dark &amp; Pure"/>
    <n v="7693"/>
    <n v="21"/>
    <n v="7.64"/>
    <x v="84"/>
  </r>
  <r>
    <x v="8"/>
    <x v="2"/>
    <s v="Caramel Stuffed Bars"/>
    <n v="973"/>
    <n v="162"/>
    <n v="10.38"/>
    <x v="85"/>
  </r>
  <r>
    <x v="9"/>
    <x v="1"/>
    <s v="Spicy Special Slims"/>
    <n v="567"/>
    <n v="228"/>
    <n v="9"/>
    <x v="86"/>
  </r>
  <r>
    <x v="9"/>
    <x v="2"/>
    <s v="Manuka Honey Choco"/>
    <n v="2471"/>
    <n v="342"/>
    <n v="7.16"/>
    <x v="87"/>
  </r>
  <r>
    <x v="6"/>
    <x v="4"/>
    <s v="Milk Bars"/>
    <n v="7189"/>
    <n v="54"/>
    <n v="9.33"/>
    <x v="13"/>
  </r>
  <r>
    <x v="3"/>
    <x v="1"/>
    <s v="Caramel Stuffed Bars"/>
    <n v="7455"/>
    <n v="216"/>
    <n v="10.38"/>
    <x v="88"/>
  </r>
  <r>
    <x v="8"/>
    <x v="5"/>
    <s v="Baker's Choco Chips"/>
    <n v="3108"/>
    <n v="54"/>
    <n v="5.6"/>
    <x v="89"/>
  </r>
  <r>
    <x v="4"/>
    <x v="4"/>
    <s v="White Choc"/>
    <n v="469"/>
    <n v="75"/>
    <n v="13.15"/>
    <x v="90"/>
  </r>
  <r>
    <x v="2"/>
    <x v="0"/>
    <s v="Fruit &amp; Nut Bars"/>
    <n v="2737"/>
    <n v="93"/>
    <n v="6.49"/>
    <x v="91"/>
  </r>
  <r>
    <x v="2"/>
    <x v="0"/>
    <s v="White Choc"/>
    <n v="4305"/>
    <n v="156"/>
    <n v="13.15"/>
    <x v="92"/>
  </r>
  <r>
    <x v="2"/>
    <x v="4"/>
    <s v="Eclairs"/>
    <n v="2408"/>
    <n v="9"/>
    <n v="3.11"/>
    <x v="93"/>
  </r>
  <r>
    <x v="8"/>
    <x v="2"/>
    <s v="99% Dark &amp; Pure"/>
    <n v="1281"/>
    <n v="18"/>
    <n v="7.64"/>
    <x v="44"/>
  </r>
  <r>
    <x v="0"/>
    <x v="1"/>
    <s v="Choco Coated Almonds"/>
    <n v="12348"/>
    <n v="234"/>
    <n v="8.65"/>
    <x v="94"/>
  </r>
  <r>
    <x v="8"/>
    <x v="5"/>
    <s v="Caramel Stuffed Bars"/>
    <n v="3689"/>
    <n v="312"/>
    <n v="10.38"/>
    <x v="95"/>
  </r>
  <r>
    <x v="5"/>
    <x v="2"/>
    <s v="99% Dark &amp; Pure"/>
    <n v="2870"/>
    <n v="300"/>
    <n v="7.64"/>
    <x v="96"/>
  </r>
  <r>
    <x v="7"/>
    <x v="2"/>
    <s v="Organic Choco Syrup"/>
    <n v="798"/>
    <n v="519"/>
    <n v="16.73"/>
    <x v="97"/>
  </r>
  <r>
    <x v="3"/>
    <x v="0"/>
    <s v="Spicy Special Slims"/>
    <n v="2933"/>
    <n v="9"/>
    <n v="9"/>
    <x v="98"/>
  </r>
  <r>
    <x v="6"/>
    <x v="1"/>
    <s v="Almond Choco"/>
    <n v="2744"/>
    <n v="9"/>
    <n v="11.88"/>
    <x v="99"/>
  </r>
  <r>
    <x v="0"/>
    <x v="2"/>
    <s v="Peanut Butter Cubes"/>
    <n v="9772"/>
    <n v="90"/>
    <n v="12.37"/>
    <x v="100"/>
  </r>
  <r>
    <x v="5"/>
    <x v="5"/>
    <s v="White Choc"/>
    <n v="1568"/>
    <n v="96"/>
    <n v="13.15"/>
    <x v="101"/>
  </r>
  <r>
    <x v="7"/>
    <x v="2"/>
    <s v="Mint Chip Choco"/>
    <n v="11417"/>
    <n v="21"/>
    <n v="8.7899999999999991"/>
    <x v="102"/>
  </r>
  <r>
    <x v="0"/>
    <x v="5"/>
    <s v="Baker's Choco Chips"/>
    <n v="6748"/>
    <n v="48"/>
    <n v="5.6"/>
    <x v="103"/>
  </r>
  <r>
    <x v="9"/>
    <x v="2"/>
    <s v="Organic Choco Syrup"/>
    <n v="1407"/>
    <n v="72"/>
    <n v="16.73"/>
    <x v="104"/>
  </r>
  <r>
    <x v="1"/>
    <x v="1"/>
    <s v="Manuka Honey Choco"/>
    <n v="2023"/>
    <n v="168"/>
    <n v="7.16"/>
    <x v="105"/>
  </r>
  <r>
    <x v="6"/>
    <x v="3"/>
    <s v="Baker's Choco Chips"/>
    <n v="5236"/>
    <n v="51"/>
    <n v="5.6"/>
    <x v="106"/>
  </r>
  <r>
    <x v="3"/>
    <x v="2"/>
    <s v="99% Dark &amp; Pure"/>
    <n v="1925"/>
    <n v="192"/>
    <n v="7.64"/>
    <x v="107"/>
  </r>
  <r>
    <x v="5"/>
    <x v="0"/>
    <s v="50% Dark Bites"/>
    <n v="6608"/>
    <n v="225"/>
    <n v="11.7"/>
    <x v="108"/>
  </r>
  <r>
    <x v="4"/>
    <x v="5"/>
    <s v="Baker's Choco Chips"/>
    <n v="8008"/>
    <n v="456"/>
    <n v="5.6"/>
    <x v="109"/>
  </r>
  <r>
    <x v="9"/>
    <x v="5"/>
    <s v="White Choc"/>
    <n v="1428"/>
    <n v="93"/>
    <n v="13.15"/>
    <x v="110"/>
  </r>
  <r>
    <x v="4"/>
    <x v="5"/>
    <s v="Almond Choco"/>
    <n v="525"/>
    <n v="48"/>
    <n v="11.88"/>
    <x v="111"/>
  </r>
  <r>
    <x v="4"/>
    <x v="0"/>
    <s v="Drinking Coco"/>
    <n v="1505"/>
    <n v="102"/>
    <n v="6.47"/>
    <x v="112"/>
  </r>
  <r>
    <x v="5"/>
    <x v="1"/>
    <s v="70% Dark Bites"/>
    <n v="6755"/>
    <n v="252"/>
    <n v="14.49"/>
    <x v="113"/>
  </r>
  <r>
    <x v="7"/>
    <x v="0"/>
    <s v="Drinking Coco"/>
    <n v="11571"/>
    <n v="138"/>
    <n v="6.47"/>
    <x v="114"/>
  </r>
  <r>
    <x v="0"/>
    <x v="4"/>
    <s v="White Choc"/>
    <n v="2541"/>
    <n v="90"/>
    <n v="13.15"/>
    <x v="115"/>
  </r>
  <r>
    <x v="3"/>
    <x v="0"/>
    <s v="70% Dark Bites"/>
    <n v="1526"/>
    <n v="240"/>
    <n v="14.49"/>
    <x v="116"/>
  </r>
  <r>
    <x v="0"/>
    <x v="4"/>
    <s v="Almond Choco"/>
    <n v="6125"/>
    <n v="102"/>
    <n v="11.88"/>
    <x v="117"/>
  </r>
  <r>
    <x v="3"/>
    <x v="1"/>
    <s v="Organic Choco Syrup"/>
    <n v="847"/>
    <n v="129"/>
    <n v="16.73"/>
    <x v="118"/>
  </r>
  <r>
    <x v="1"/>
    <x v="1"/>
    <s v="Organic Choco Syrup"/>
    <n v="4753"/>
    <n v="300"/>
    <n v="16.73"/>
    <x v="119"/>
  </r>
  <r>
    <x v="4"/>
    <x v="4"/>
    <s v="Peanut Butter Cubes"/>
    <n v="959"/>
    <n v="135"/>
    <n v="12.37"/>
    <x v="120"/>
  </r>
  <r>
    <x v="5"/>
    <x v="1"/>
    <s v="85% Dark Bars"/>
    <n v="2793"/>
    <n v="114"/>
    <n v="4.97"/>
    <x v="121"/>
  </r>
  <r>
    <x v="5"/>
    <x v="1"/>
    <s v="50% Dark Bites"/>
    <n v="4606"/>
    <n v="63"/>
    <n v="11.7"/>
    <x v="122"/>
  </r>
  <r>
    <x v="5"/>
    <x v="2"/>
    <s v="Manuka Honey Choco"/>
    <n v="5551"/>
    <n v="252"/>
    <n v="7.16"/>
    <x v="123"/>
  </r>
  <r>
    <x v="9"/>
    <x v="2"/>
    <s v="Choco Coated Almonds"/>
    <n v="6657"/>
    <n v="303"/>
    <n v="8.65"/>
    <x v="124"/>
  </r>
  <r>
    <x v="5"/>
    <x v="3"/>
    <s v="Eclairs"/>
    <n v="4438"/>
    <n v="246"/>
    <n v="3.11"/>
    <x v="125"/>
  </r>
  <r>
    <x v="1"/>
    <x v="4"/>
    <s v="After Nines"/>
    <n v="168"/>
    <n v="84"/>
    <n v="9.77"/>
    <x v="126"/>
  </r>
  <r>
    <x v="5"/>
    <x v="5"/>
    <s v="Eclairs"/>
    <n v="7777"/>
    <n v="39"/>
    <n v="3.11"/>
    <x v="55"/>
  </r>
  <r>
    <x v="6"/>
    <x v="2"/>
    <s v="Eclairs"/>
    <n v="3339"/>
    <n v="348"/>
    <n v="3.11"/>
    <x v="127"/>
  </r>
  <r>
    <x v="5"/>
    <x v="0"/>
    <s v="Peanut Butter Cubes"/>
    <n v="6391"/>
    <n v="48"/>
    <n v="12.37"/>
    <x v="70"/>
  </r>
  <r>
    <x v="6"/>
    <x v="0"/>
    <s v="After Nines"/>
    <n v="518"/>
    <n v="75"/>
    <n v="9.77"/>
    <x v="128"/>
  </r>
  <r>
    <x v="5"/>
    <x v="4"/>
    <s v="Caramel Stuffed Bars"/>
    <n v="5677"/>
    <n v="258"/>
    <n v="10.38"/>
    <x v="129"/>
  </r>
  <r>
    <x v="4"/>
    <x v="3"/>
    <s v="Eclairs"/>
    <n v="6048"/>
    <n v="27"/>
    <n v="3.11"/>
    <x v="130"/>
  </r>
  <r>
    <x v="1"/>
    <x v="4"/>
    <s v="Choco Coated Almonds"/>
    <n v="3752"/>
    <n v="213"/>
    <n v="8.65"/>
    <x v="131"/>
  </r>
  <r>
    <x v="6"/>
    <x v="1"/>
    <s v="Manuka Honey Choco"/>
    <n v="4480"/>
    <n v="357"/>
    <n v="7.16"/>
    <x v="132"/>
  </r>
  <r>
    <x v="2"/>
    <x v="0"/>
    <s v="Almond Choco"/>
    <n v="259"/>
    <n v="207"/>
    <n v="11.88"/>
    <x v="133"/>
  </r>
  <r>
    <x v="1"/>
    <x v="0"/>
    <s v="70% Dark Bites"/>
    <n v="42"/>
    <n v="150"/>
    <n v="14.49"/>
    <x v="134"/>
  </r>
  <r>
    <x v="3"/>
    <x v="2"/>
    <s v="Baker's Choco Chips"/>
    <n v="98"/>
    <n v="204"/>
    <n v="5.6"/>
    <x v="135"/>
  </r>
  <r>
    <x v="5"/>
    <x v="1"/>
    <s v="Organic Choco Syrup"/>
    <n v="2478"/>
    <n v="21"/>
    <n v="16.73"/>
    <x v="40"/>
  </r>
  <r>
    <x v="3"/>
    <x v="5"/>
    <s v="Peanut Butter Cubes"/>
    <n v="7847"/>
    <n v="174"/>
    <n v="12.37"/>
    <x v="136"/>
  </r>
  <r>
    <x v="7"/>
    <x v="0"/>
    <s v="Eclairs"/>
    <n v="9926"/>
    <n v="201"/>
    <n v="3.11"/>
    <x v="137"/>
  </r>
  <r>
    <x v="1"/>
    <x v="4"/>
    <s v="Milk Bars"/>
    <n v="819"/>
    <n v="510"/>
    <n v="9.33"/>
    <x v="138"/>
  </r>
  <r>
    <x v="4"/>
    <x v="3"/>
    <s v="Manuka Honey Choco"/>
    <n v="3052"/>
    <n v="378"/>
    <n v="7.16"/>
    <x v="139"/>
  </r>
  <r>
    <x v="2"/>
    <x v="5"/>
    <s v="Spicy Special Slims"/>
    <n v="6832"/>
    <n v="27"/>
    <n v="9"/>
    <x v="140"/>
  </r>
  <r>
    <x v="7"/>
    <x v="3"/>
    <s v="Mint Chip Choco"/>
    <n v="2016"/>
    <n v="117"/>
    <n v="8.7899999999999991"/>
    <x v="141"/>
  </r>
  <r>
    <x v="4"/>
    <x v="4"/>
    <s v="Spicy Special Slims"/>
    <n v="7322"/>
    <n v="36"/>
    <n v="9"/>
    <x v="142"/>
  </r>
  <r>
    <x v="1"/>
    <x v="1"/>
    <s v="Peanut Butter Cubes"/>
    <n v="357"/>
    <n v="126"/>
    <n v="12.37"/>
    <x v="143"/>
  </r>
  <r>
    <x v="2"/>
    <x v="3"/>
    <s v="White Choc"/>
    <n v="3192"/>
    <n v="72"/>
    <n v="13.15"/>
    <x v="144"/>
  </r>
  <r>
    <x v="5"/>
    <x v="2"/>
    <s v="After Nines"/>
    <n v="8435"/>
    <n v="42"/>
    <n v="9.77"/>
    <x v="145"/>
  </r>
  <r>
    <x v="0"/>
    <x v="3"/>
    <s v="Manuka Honey Choco"/>
    <n v="0"/>
    <n v="135"/>
    <n v="7.16"/>
    <x v="146"/>
  </r>
  <r>
    <x v="5"/>
    <x v="5"/>
    <s v="85% Dark Bars"/>
    <n v="8862"/>
    <n v="189"/>
    <n v="4.97"/>
    <x v="147"/>
  </r>
  <r>
    <x v="4"/>
    <x v="0"/>
    <s v="Caramel Stuffed Bars"/>
    <n v="3556"/>
    <n v="459"/>
    <n v="10.38"/>
    <x v="148"/>
  </r>
  <r>
    <x v="6"/>
    <x v="5"/>
    <s v="Raspberry Choco"/>
    <n v="7280"/>
    <n v="201"/>
    <n v="11.73"/>
    <x v="77"/>
  </r>
  <r>
    <x v="4"/>
    <x v="5"/>
    <s v="70% Dark Bites"/>
    <n v="3402"/>
    <n v="366"/>
    <n v="14.49"/>
    <x v="149"/>
  </r>
  <r>
    <x v="8"/>
    <x v="0"/>
    <s v="Manuka Honey Choco"/>
    <n v="4592"/>
    <n v="324"/>
    <n v="7.16"/>
    <x v="150"/>
  </r>
  <r>
    <x v="2"/>
    <x v="1"/>
    <s v="Raspberry Choco"/>
    <n v="7833"/>
    <n v="243"/>
    <n v="11.73"/>
    <x v="151"/>
  </r>
  <r>
    <x v="7"/>
    <x v="3"/>
    <s v="Spicy Special Slims"/>
    <n v="7651"/>
    <n v="213"/>
    <n v="9"/>
    <x v="152"/>
  </r>
  <r>
    <x v="0"/>
    <x v="1"/>
    <s v="70% Dark Bites"/>
    <n v="2275"/>
    <n v="447"/>
    <n v="14.49"/>
    <x v="153"/>
  </r>
  <r>
    <x v="0"/>
    <x v="4"/>
    <s v="Milk Bars"/>
    <n v="5670"/>
    <n v="297"/>
    <n v="9.33"/>
    <x v="154"/>
  </r>
  <r>
    <x v="5"/>
    <x v="1"/>
    <s v="Mint Chip Choco"/>
    <n v="2135"/>
    <n v="27"/>
    <n v="8.7899999999999991"/>
    <x v="155"/>
  </r>
  <r>
    <x v="0"/>
    <x v="5"/>
    <s v="Fruit &amp; Nut Bars"/>
    <n v="2779"/>
    <n v="75"/>
    <n v="6.49"/>
    <x v="156"/>
  </r>
  <r>
    <x v="9"/>
    <x v="3"/>
    <s v="Peanut Butter Cubes"/>
    <n v="12950"/>
    <n v="30"/>
    <n v="12.37"/>
    <x v="157"/>
  </r>
  <r>
    <x v="5"/>
    <x v="2"/>
    <s v="Drinking Coco"/>
    <n v="2646"/>
    <n v="177"/>
    <n v="6.47"/>
    <x v="158"/>
  </r>
  <r>
    <x v="0"/>
    <x v="5"/>
    <s v="Peanut Butter Cubes"/>
    <n v="3794"/>
    <n v="159"/>
    <n v="12.37"/>
    <x v="159"/>
  </r>
  <r>
    <x v="8"/>
    <x v="1"/>
    <s v="Peanut Butter Cubes"/>
    <n v="819"/>
    <n v="306"/>
    <n v="12.37"/>
    <x v="160"/>
  </r>
  <r>
    <x v="8"/>
    <x v="5"/>
    <s v="Orange Choco"/>
    <n v="2583"/>
    <n v="18"/>
    <n v="10.62"/>
    <x v="161"/>
  </r>
  <r>
    <x v="5"/>
    <x v="1"/>
    <s v="99% Dark &amp; Pure"/>
    <n v="4585"/>
    <n v="240"/>
    <n v="7.64"/>
    <x v="162"/>
  </r>
  <r>
    <x v="6"/>
    <x v="5"/>
    <s v="Peanut Butter Cubes"/>
    <n v="1652"/>
    <n v="93"/>
    <n v="12.37"/>
    <x v="163"/>
  </r>
  <r>
    <x v="9"/>
    <x v="5"/>
    <s v="Baker's Choco Chips"/>
    <n v="4991"/>
    <n v="9"/>
    <n v="5.6"/>
    <x v="164"/>
  </r>
  <r>
    <x v="1"/>
    <x v="5"/>
    <s v="Mint Chip Choco"/>
    <n v="2009"/>
    <n v="219"/>
    <n v="8.7899999999999991"/>
    <x v="165"/>
  </r>
  <r>
    <x v="7"/>
    <x v="3"/>
    <s v="After Nines"/>
    <n v="1568"/>
    <n v="141"/>
    <n v="9.77"/>
    <x v="22"/>
  </r>
  <r>
    <x v="3"/>
    <x v="0"/>
    <s v="Orange Choco"/>
    <n v="3388"/>
    <n v="123"/>
    <n v="10.62"/>
    <x v="166"/>
  </r>
  <r>
    <x v="0"/>
    <x v="4"/>
    <s v="85% Dark Bars"/>
    <n v="623"/>
    <n v="51"/>
    <n v="4.97"/>
    <x v="167"/>
  </r>
  <r>
    <x v="4"/>
    <x v="2"/>
    <s v="Almond Choco"/>
    <n v="10073"/>
    <n v="120"/>
    <n v="11.88"/>
    <x v="168"/>
  </r>
  <r>
    <x v="1"/>
    <x v="3"/>
    <s v="Baker's Choco Chips"/>
    <n v="1561"/>
    <n v="27"/>
    <n v="5.6"/>
    <x v="169"/>
  </r>
  <r>
    <x v="2"/>
    <x v="2"/>
    <s v="Organic Choco Syrup"/>
    <n v="11522"/>
    <n v="204"/>
    <n v="16.73"/>
    <x v="170"/>
  </r>
  <r>
    <x v="4"/>
    <x v="4"/>
    <s v="Milk Bars"/>
    <n v="2317"/>
    <n v="123"/>
    <n v="9.33"/>
    <x v="82"/>
  </r>
  <r>
    <x v="9"/>
    <x v="0"/>
    <s v="Caramel Stuffed Bars"/>
    <n v="3059"/>
    <n v="27"/>
    <n v="10.38"/>
    <x v="171"/>
  </r>
  <r>
    <x v="3"/>
    <x v="0"/>
    <s v="Baker's Choco Chips"/>
    <n v="2324"/>
    <n v="177"/>
    <n v="5.6"/>
    <x v="172"/>
  </r>
  <r>
    <x v="8"/>
    <x v="3"/>
    <s v="Baker's Choco Chips"/>
    <n v="4956"/>
    <n v="171"/>
    <n v="5.6"/>
    <x v="173"/>
  </r>
  <r>
    <x v="9"/>
    <x v="5"/>
    <s v="99% Dark &amp; Pure"/>
    <n v="5355"/>
    <n v="204"/>
    <n v="7.64"/>
    <x v="23"/>
  </r>
  <r>
    <x v="8"/>
    <x v="5"/>
    <s v="50% Dark Bites"/>
    <n v="7259"/>
    <n v="276"/>
    <n v="11.7"/>
    <x v="174"/>
  </r>
  <r>
    <x v="1"/>
    <x v="0"/>
    <s v="Baker's Choco Chips"/>
    <n v="6279"/>
    <n v="45"/>
    <n v="5.6"/>
    <x v="175"/>
  </r>
  <r>
    <x v="0"/>
    <x v="4"/>
    <s v="Manuka Honey Choco"/>
    <n v="2541"/>
    <n v="45"/>
    <n v="7.16"/>
    <x v="176"/>
  </r>
  <r>
    <x v="4"/>
    <x v="1"/>
    <s v="Organic Choco Syrup"/>
    <n v="3864"/>
    <n v="177"/>
    <n v="16.73"/>
    <x v="177"/>
  </r>
  <r>
    <x v="6"/>
    <x v="2"/>
    <s v="Milk Bars"/>
    <n v="6146"/>
    <n v="63"/>
    <n v="9.33"/>
    <x v="178"/>
  </r>
  <r>
    <x v="2"/>
    <x v="3"/>
    <s v="Drinking Coco"/>
    <n v="2639"/>
    <n v="204"/>
    <n v="6.47"/>
    <x v="179"/>
  </r>
  <r>
    <x v="1"/>
    <x v="0"/>
    <s v="After Nines"/>
    <n v="1890"/>
    <n v="195"/>
    <n v="9.77"/>
    <x v="180"/>
  </r>
  <r>
    <x v="5"/>
    <x v="5"/>
    <s v="50% Dark Bites"/>
    <n v="1932"/>
    <n v="369"/>
    <n v="11.7"/>
    <x v="181"/>
  </r>
  <r>
    <x v="8"/>
    <x v="5"/>
    <s v="White Choc"/>
    <n v="6300"/>
    <n v="42"/>
    <n v="13.15"/>
    <x v="182"/>
  </r>
  <r>
    <x v="4"/>
    <x v="0"/>
    <s v="70% Dark Bites"/>
    <n v="560"/>
    <n v="81"/>
    <n v="14.49"/>
    <x v="183"/>
  </r>
  <r>
    <x v="2"/>
    <x v="0"/>
    <s v="Baker's Choco Chips"/>
    <n v="2856"/>
    <n v="246"/>
    <n v="5.6"/>
    <x v="184"/>
  </r>
  <r>
    <x v="2"/>
    <x v="5"/>
    <s v="Eclairs"/>
    <n v="707"/>
    <n v="174"/>
    <n v="3.11"/>
    <x v="185"/>
  </r>
  <r>
    <x v="1"/>
    <x v="1"/>
    <s v="70% Dark Bites"/>
    <n v="3598"/>
    <n v="81"/>
    <n v="14.49"/>
    <x v="183"/>
  </r>
  <r>
    <x v="0"/>
    <x v="1"/>
    <s v="After Nines"/>
    <n v="6853"/>
    <n v="372"/>
    <n v="9.77"/>
    <x v="186"/>
  </r>
  <r>
    <x v="0"/>
    <x v="1"/>
    <s v="Mint Chip Choco"/>
    <n v="4725"/>
    <n v="174"/>
    <n v="8.7899999999999991"/>
    <x v="187"/>
  </r>
  <r>
    <x v="3"/>
    <x v="2"/>
    <s v="Choco Coated Almonds"/>
    <n v="10304"/>
    <n v="84"/>
    <n v="8.65"/>
    <x v="188"/>
  </r>
  <r>
    <x v="3"/>
    <x v="5"/>
    <s v="Mint Chip Choco"/>
    <n v="1274"/>
    <n v="225"/>
    <n v="8.7899999999999991"/>
    <x v="189"/>
  </r>
  <r>
    <x v="6"/>
    <x v="2"/>
    <s v="70% Dark Bites"/>
    <n v="1526"/>
    <n v="105"/>
    <n v="14.49"/>
    <x v="190"/>
  </r>
  <r>
    <x v="0"/>
    <x v="3"/>
    <s v="Caramel Stuffed Bars"/>
    <n v="3101"/>
    <n v="225"/>
    <n v="10.38"/>
    <x v="191"/>
  </r>
  <r>
    <x v="7"/>
    <x v="0"/>
    <s v="50% Dark Bites"/>
    <n v="1057"/>
    <n v="54"/>
    <n v="11.7"/>
    <x v="192"/>
  </r>
  <r>
    <x v="5"/>
    <x v="0"/>
    <s v="Baker's Choco Chips"/>
    <n v="5306"/>
    <n v="0"/>
    <n v="5.6"/>
    <x v="193"/>
  </r>
  <r>
    <x v="6"/>
    <x v="3"/>
    <s v="85% Dark Bars"/>
    <n v="4018"/>
    <n v="171"/>
    <n v="4.97"/>
    <x v="194"/>
  </r>
  <r>
    <x v="2"/>
    <x v="5"/>
    <s v="Mint Chip Choco"/>
    <n v="938"/>
    <n v="189"/>
    <n v="8.7899999999999991"/>
    <x v="195"/>
  </r>
  <r>
    <x v="5"/>
    <x v="4"/>
    <s v="Drinking Coco"/>
    <n v="1778"/>
    <n v="270"/>
    <n v="6.47"/>
    <x v="196"/>
  </r>
  <r>
    <x v="4"/>
    <x v="3"/>
    <s v="70% Dark Bites"/>
    <n v="1638"/>
    <n v="63"/>
    <n v="14.49"/>
    <x v="197"/>
  </r>
  <r>
    <x v="3"/>
    <x v="4"/>
    <s v="White Choc"/>
    <n v="154"/>
    <n v="21"/>
    <n v="13.15"/>
    <x v="198"/>
  </r>
  <r>
    <x v="5"/>
    <x v="0"/>
    <s v="After Nines"/>
    <n v="9835"/>
    <n v="207"/>
    <n v="9.77"/>
    <x v="199"/>
  </r>
  <r>
    <x v="2"/>
    <x v="0"/>
    <s v="Orange Choco"/>
    <n v="7273"/>
    <n v="96"/>
    <n v="10.62"/>
    <x v="200"/>
  </r>
  <r>
    <x v="6"/>
    <x v="3"/>
    <s v="After Nines"/>
    <n v="6909"/>
    <n v="81"/>
    <n v="9.77"/>
    <x v="201"/>
  </r>
  <r>
    <x v="2"/>
    <x v="3"/>
    <s v="85% Dark Bars"/>
    <n v="3920"/>
    <n v="306"/>
    <n v="4.97"/>
    <x v="202"/>
  </r>
  <r>
    <x v="9"/>
    <x v="3"/>
    <s v="Spicy Special Slims"/>
    <n v="4858"/>
    <n v="279"/>
    <n v="9"/>
    <x v="203"/>
  </r>
  <r>
    <x v="7"/>
    <x v="4"/>
    <s v="Almond Choco"/>
    <n v="3549"/>
    <n v="3"/>
    <n v="11.88"/>
    <x v="204"/>
  </r>
  <r>
    <x v="5"/>
    <x v="3"/>
    <s v="Organic Choco Syrup"/>
    <n v="966"/>
    <n v="198"/>
    <n v="16.73"/>
    <x v="205"/>
  </r>
  <r>
    <x v="6"/>
    <x v="3"/>
    <s v="Drinking Coco"/>
    <n v="385"/>
    <n v="249"/>
    <n v="6.47"/>
    <x v="206"/>
  </r>
  <r>
    <x v="4"/>
    <x v="5"/>
    <s v="Mint Chip Choco"/>
    <n v="2219"/>
    <n v="75"/>
    <n v="8.7899999999999991"/>
    <x v="207"/>
  </r>
  <r>
    <x v="2"/>
    <x v="2"/>
    <s v="Choco Coated Almonds"/>
    <n v="2954"/>
    <n v="189"/>
    <n v="8.65"/>
    <x v="208"/>
  </r>
  <r>
    <x v="5"/>
    <x v="2"/>
    <s v="Choco Coated Almonds"/>
    <n v="280"/>
    <n v="87"/>
    <n v="8.65"/>
    <x v="209"/>
  </r>
  <r>
    <x v="3"/>
    <x v="2"/>
    <s v="70% Dark Bites"/>
    <n v="6118"/>
    <n v="174"/>
    <n v="14.49"/>
    <x v="210"/>
  </r>
  <r>
    <x v="7"/>
    <x v="3"/>
    <s v="Raspberry Choco"/>
    <n v="4802"/>
    <n v="36"/>
    <n v="11.73"/>
    <x v="211"/>
  </r>
  <r>
    <x v="2"/>
    <x v="4"/>
    <s v="85% Dark Bars"/>
    <n v="4137"/>
    <n v="60"/>
    <n v="4.97"/>
    <x v="212"/>
  </r>
  <r>
    <x v="8"/>
    <x v="1"/>
    <s v="Fruit &amp; Nut Bars"/>
    <n v="2023"/>
    <n v="78"/>
    <n v="6.49"/>
    <x v="213"/>
  </r>
  <r>
    <x v="2"/>
    <x v="2"/>
    <s v="70% Dark Bites"/>
    <n v="9051"/>
    <n v="57"/>
    <n v="14.49"/>
    <x v="214"/>
  </r>
  <r>
    <x v="2"/>
    <x v="0"/>
    <s v="Caramel Stuffed Bars"/>
    <n v="2919"/>
    <n v="45"/>
    <n v="10.38"/>
    <x v="215"/>
  </r>
  <r>
    <x v="3"/>
    <x v="4"/>
    <s v="After Nines"/>
    <n v="5915"/>
    <n v="3"/>
    <n v="9.77"/>
    <x v="216"/>
  </r>
  <r>
    <x v="9"/>
    <x v="1"/>
    <s v="Raspberry Choco"/>
    <n v="2562"/>
    <n v="6"/>
    <n v="11.73"/>
    <x v="217"/>
  </r>
  <r>
    <x v="6"/>
    <x v="0"/>
    <s v="White Choc"/>
    <n v="8813"/>
    <n v="21"/>
    <n v="13.15"/>
    <x v="198"/>
  </r>
  <r>
    <x v="6"/>
    <x v="2"/>
    <s v="Drinking Coco"/>
    <n v="6111"/>
    <n v="3"/>
    <n v="6.47"/>
    <x v="218"/>
  </r>
  <r>
    <x v="1"/>
    <x v="5"/>
    <s v="Smooth Sliky Salty"/>
    <n v="3507"/>
    <n v="288"/>
    <n v="5.79"/>
    <x v="219"/>
  </r>
  <r>
    <x v="4"/>
    <x v="2"/>
    <s v="Milk Bars"/>
    <n v="4319"/>
    <n v="30"/>
    <n v="9.33"/>
    <x v="220"/>
  </r>
  <r>
    <x v="0"/>
    <x v="4"/>
    <s v="Baker's Choco Chips"/>
    <n v="609"/>
    <n v="87"/>
    <n v="5.6"/>
    <x v="221"/>
  </r>
  <r>
    <x v="0"/>
    <x v="3"/>
    <s v="Organic Choco Syrup"/>
    <n v="6370"/>
    <n v="30"/>
    <n v="16.73"/>
    <x v="222"/>
  </r>
  <r>
    <x v="6"/>
    <x v="4"/>
    <s v="99% Dark &amp; Pure"/>
    <n v="5474"/>
    <n v="168"/>
    <n v="7.64"/>
    <x v="223"/>
  </r>
  <r>
    <x v="0"/>
    <x v="2"/>
    <s v="Organic Choco Syrup"/>
    <n v="3164"/>
    <n v="306"/>
    <n v="16.73"/>
    <x v="224"/>
  </r>
  <r>
    <x v="4"/>
    <x v="1"/>
    <s v="Almond Choco"/>
    <n v="1302"/>
    <n v="402"/>
    <n v="11.88"/>
    <x v="225"/>
  </r>
  <r>
    <x v="8"/>
    <x v="0"/>
    <s v="Caramel Stuffed Bars"/>
    <n v="7308"/>
    <n v="327"/>
    <n v="10.38"/>
    <x v="226"/>
  </r>
  <r>
    <x v="0"/>
    <x v="0"/>
    <s v="Organic Choco Syrup"/>
    <n v="6132"/>
    <n v="93"/>
    <n v="16.73"/>
    <x v="227"/>
  </r>
  <r>
    <x v="9"/>
    <x v="1"/>
    <s v="50% Dark Bites"/>
    <n v="3472"/>
    <n v="96"/>
    <n v="11.7"/>
    <x v="228"/>
  </r>
  <r>
    <x v="1"/>
    <x v="3"/>
    <s v="Drinking Coco"/>
    <n v="9660"/>
    <n v="27"/>
    <n v="6.47"/>
    <x v="229"/>
  </r>
  <r>
    <x v="2"/>
    <x v="4"/>
    <s v="Baker's Choco Chips"/>
    <n v="2436"/>
    <n v="99"/>
    <n v="5.6"/>
    <x v="230"/>
  </r>
  <r>
    <x v="2"/>
    <x v="4"/>
    <s v="Peanut Butter Cubes"/>
    <n v="9506"/>
    <n v="87"/>
    <n v="12.37"/>
    <x v="231"/>
  </r>
  <r>
    <x v="9"/>
    <x v="0"/>
    <s v="Spicy Special Slims"/>
    <n v="245"/>
    <n v="288"/>
    <n v="9"/>
    <x v="232"/>
  </r>
  <r>
    <x v="1"/>
    <x v="1"/>
    <s v="Orange Choco"/>
    <n v="2702"/>
    <n v="363"/>
    <n v="10.62"/>
    <x v="233"/>
  </r>
  <r>
    <x v="9"/>
    <x v="5"/>
    <s v="Eclairs"/>
    <n v="700"/>
    <n v="87"/>
    <n v="3.11"/>
    <x v="234"/>
  </r>
  <r>
    <x v="4"/>
    <x v="5"/>
    <s v="Eclairs"/>
    <n v="3759"/>
    <n v="150"/>
    <n v="3.11"/>
    <x v="235"/>
  </r>
  <r>
    <x v="7"/>
    <x v="1"/>
    <s v="Eclairs"/>
    <n v="1589"/>
    <n v="303"/>
    <n v="3.11"/>
    <x v="236"/>
  </r>
  <r>
    <x v="5"/>
    <x v="1"/>
    <s v="Caramel Stuffed Bars"/>
    <n v="5194"/>
    <n v="288"/>
    <n v="10.38"/>
    <x v="237"/>
  </r>
  <r>
    <x v="9"/>
    <x v="2"/>
    <s v="Milk Bars"/>
    <n v="945"/>
    <n v="75"/>
    <n v="9.33"/>
    <x v="238"/>
  </r>
  <r>
    <x v="0"/>
    <x v="4"/>
    <s v="Smooth Sliky Salty"/>
    <n v="1988"/>
    <n v="39"/>
    <n v="5.79"/>
    <x v="239"/>
  </r>
  <r>
    <x v="4"/>
    <x v="5"/>
    <s v="Choco Coated Almonds"/>
    <n v="6734"/>
    <n v="123"/>
    <n v="8.65"/>
    <x v="240"/>
  </r>
  <r>
    <x v="0"/>
    <x v="2"/>
    <s v="Almond Choco"/>
    <n v="217"/>
    <n v="36"/>
    <n v="11.88"/>
    <x v="241"/>
  </r>
  <r>
    <x v="6"/>
    <x v="5"/>
    <s v="After Nines"/>
    <n v="6279"/>
    <n v="237"/>
    <n v="9.77"/>
    <x v="242"/>
  </r>
  <r>
    <x v="0"/>
    <x v="2"/>
    <s v="Milk Bars"/>
    <n v="4424"/>
    <n v="201"/>
    <n v="9.33"/>
    <x v="243"/>
  </r>
  <r>
    <x v="7"/>
    <x v="2"/>
    <s v="Eclairs"/>
    <n v="189"/>
    <n v="48"/>
    <n v="3.11"/>
    <x v="244"/>
  </r>
  <r>
    <x v="6"/>
    <x v="1"/>
    <s v="After Nines"/>
    <n v="490"/>
    <n v="84"/>
    <n v="9.77"/>
    <x v="126"/>
  </r>
  <r>
    <x v="1"/>
    <x v="0"/>
    <s v="Spicy Special Slims"/>
    <n v="434"/>
    <n v="87"/>
    <n v="9"/>
    <x v="245"/>
  </r>
  <r>
    <x v="5"/>
    <x v="4"/>
    <s v="70% Dark Bites"/>
    <n v="10129"/>
    <n v="312"/>
    <n v="14.49"/>
    <x v="246"/>
  </r>
  <r>
    <x v="8"/>
    <x v="3"/>
    <s v="Caramel Stuffed Bars"/>
    <n v="1652"/>
    <n v="102"/>
    <n v="10.38"/>
    <x v="247"/>
  </r>
  <r>
    <x v="1"/>
    <x v="4"/>
    <s v="Spicy Special Slims"/>
    <n v="6433"/>
    <n v="78"/>
    <n v="9"/>
    <x v="248"/>
  </r>
  <r>
    <x v="8"/>
    <x v="5"/>
    <s v="Fruit &amp; Nut Bars"/>
    <n v="2212"/>
    <n v="117"/>
    <n v="6.49"/>
    <x v="249"/>
  </r>
  <r>
    <x v="3"/>
    <x v="1"/>
    <s v="99% Dark &amp; Pure"/>
    <n v="609"/>
    <n v="99"/>
    <n v="7.64"/>
    <x v="250"/>
  </r>
  <r>
    <x v="0"/>
    <x v="1"/>
    <s v="85% Dark Bars"/>
    <n v="1638"/>
    <n v="48"/>
    <n v="4.97"/>
    <x v="251"/>
  </r>
  <r>
    <x v="5"/>
    <x v="5"/>
    <s v="Raspberry Choco"/>
    <n v="3829"/>
    <n v="24"/>
    <n v="11.73"/>
    <x v="252"/>
  </r>
  <r>
    <x v="0"/>
    <x v="3"/>
    <s v="Raspberry Choco"/>
    <n v="5775"/>
    <n v="42"/>
    <n v="11.73"/>
    <x v="253"/>
  </r>
  <r>
    <x v="4"/>
    <x v="1"/>
    <s v="Orange Choco"/>
    <n v="1071"/>
    <n v="270"/>
    <n v="10.62"/>
    <x v="254"/>
  </r>
  <r>
    <x v="1"/>
    <x v="2"/>
    <s v="Fruit &amp; Nut Bars"/>
    <n v="5019"/>
    <n v="150"/>
    <n v="6.49"/>
    <x v="255"/>
  </r>
  <r>
    <x v="7"/>
    <x v="0"/>
    <s v="Raspberry Choco"/>
    <n v="2863"/>
    <n v="42"/>
    <n v="11.73"/>
    <x v="253"/>
  </r>
  <r>
    <x v="0"/>
    <x v="1"/>
    <s v="Manuka Honey Choco"/>
    <n v="1617"/>
    <n v="126"/>
    <n v="7.16"/>
    <x v="256"/>
  </r>
  <r>
    <x v="4"/>
    <x v="0"/>
    <s v="Baker's Choco Chips"/>
    <n v="6818"/>
    <n v="6"/>
    <n v="5.6"/>
    <x v="257"/>
  </r>
  <r>
    <x v="8"/>
    <x v="1"/>
    <s v="Raspberry Choco"/>
    <n v="6657"/>
    <n v="276"/>
    <n v="11.73"/>
    <x v="258"/>
  </r>
  <r>
    <x v="8"/>
    <x v="5"/>
    <s v="Eclairs"/>
    <n v="2919"/>
    <n v="93"/>
    <n v="3.11"/>
    <x v="259"/>
  </r>
  <r>
    <x v="7"/>
    <x v="2"/>
    <s v="Smooth Sliky Salty"/>
    <n v="3094"/>
    <n v="246"/>
    <n v="5.79"/>
    <x v="260"/>
  </r>
  <r>
    <x v="4"/>
    <x v="3"/>
    <s v="85% Dark Bars"/>
    <n v="2989"/>
    <n v="3"/>
    <n v="4.97"/>
    <x v="261"/>
  </r>
  <r>
    <x v="1"/>
    <x v="4"/>
    <s v="Organic Choco Syrup"/>
    <n v="2268"/>
    <n v="63"/>
    <n v="16.73"/>
    <x v="262"/>
  </r>
  <r>
    <x v="6"/>
    <x v="1"/>
    <s v="Smooth Sliky Salty"/>
    <n v="4753"/>
    <n v="246"/>
    <n v="5.79"/>
    <x v="260"/>
  </r>
  <r>
    <x v="7"/>
    <x v="5"/>
    <s v="99% Dark &amp; Pure"/>
    <n v="7511"/>
    <n v="120"/>
    <n v="7.64"/>
    <x v="263"/>
  </r>
  <r>
    <x v="7"/>
    <x v="4"/>
    <s v="Smooth Sliky Salty"/>
    <n v="4326"/>
    <n v="348"/>
    <n v="5.79"/>
    <x v="264"/>
  </r>
  <r>
    <x v="3"/>
    <x v="5"/>
    <s v="Fruit &amp; Nut Bars"/>
    <n v="4935"/>
    <n v="126"/>
    <n v="6.49"/>
    <x v="265"/>
  </r>
  <r>
    <x v="4"/>
    <x v="1"/>
    <s v="70% Dark Bites"/>
    <n v="4781"/>
    <n v="123"/>
    <n v="14.49"/>
    <x v="266"/>
  </r>
  <r>
    <x v="6"/>
    <x v="4"/>
    <s v="White Choc"/>
    <n v="7483"/>
    <n v="45"/>
    <n v="13.15"/>
    <x v="267"/>
  </r>
  <r>
    <x v="9"/>
    <x v="4"/>
    <s v="Almond Choco"/>
    <n v="6860"/>
    <n v="126"/>
    <n v="11.88"/>
    <x v="268"/>
  </r>
  <r>
    <x v="0"/>
    <x v="0"/>
    <s v="Manuka Honey Choco"/>
    <n v="9002"/>
    <n v="72"/>
    <n v="7.16"/>
    <x v="269"/>
  </r>
  <r>
    <x v="4"/>
    <x v="2"/>
    <s v="Manuka Honey Choco"/>
    <n v="1400"/>
    <n v="135"/>
    <n v="7.16"/>
    <x v="146"/>
  </r>
  <r>
    <x v="9"/>
    <x v="5"/>
    <s v="After Nines"/>
    <n v="4053"/>
    <n v="24"/>
    <n v="9.77"/>
    <x v="270"/>
  </r>
  <r>
    <x v="5"/>
    <x v="2"/>
    <s v="Smooth Sliky Salty"/>
    <n v="2149"/>
    <n v="117"/>
    <n v="5.79"/>
    <x v="271"/>
  </r>
  <r>
    <x v="8"/>
    <x v="3"/>
    <s v="Manuka Honey Choco"/>
    <n v="3640"/>
    <n v="51"/>
    <n v="7.16"/>
    <x v="272"/>
  </r>
  <r>
    <x v="7"/>
    <x v="3"/>
    <s v="Fruit &amp; Nut Bars"/>
    <n v="630"/>
    <n v="36"/>
    <n v="6.49"/>
    <x v="273"/>
  </r>
  <r>
    <x v="2"/>
    <x v="1"/>
    <s v="Organic Choco Syrup"/>
    <n v="2429"/>
    <n v="144"/>
    <n v="16.73"/>
    <x v="274"/>
  </r>
  <r>
    <x v="2"/>
    <x v="2"/>
    <s v="White Choc"/>
    <n v="2142"/>
    <n v="114"/>
    <n v="13.15"/>
    <x v="275"/>
  </r>
  <r>
    <x v="5"/>
    <x v="0"/>
    <s v="70% Dark Bites"/>
    <n v="6454"/>
    <n v="54"/>
    <n v="14.49"/>
    <x v="276"/>
  </r>
  <r>
    <x v="5"/>
    <x v="0"/>
    <s v="Mint Chip Choco"/>
    <n v="4487"/>
    <n v="333"/>
    <n v="8.7899999999999991"/>
    <x v="277"/>
  </r>
  <r>
    <x v="8"/>
    <x v="0"/>
    <s v="Almond Choco"/>
    <n v="938"/>
    <n v="366"/>
    <n v="11.88"/>
    <x v="278"/>
  </r>
  <r>
    <x v="8"/>
    <x v="4"/>
    <s v="Baker's Choco Chips"/>
    <n v="8841"/>
    <n v="303"/>
    <n v="5.6"/>
    <x v="279"/>
  </r>
  <r>
    <x v="7"/>
    <x v="3"/>
    <s v="Peanut Butter Cubes"/>
    <n v="4018"/>
    <n v="126"/>
    <n v="12.37"/>
    <x v="143"/>
  </r>
  <r>
    <x v="3"/>
    <x v="0"/>
    <s v="Raspberry Choco"/>
    <n v="714"/>
    <n v="231"/>
    <n v="11.73"/>
    <x v="280"/>
  </r>
  <r>
    <x v="2"/>
    <x v="4"/>
    <s v="White Choc"/>
    <n v="3850"/>
    <n v="102"/>
    <n v="13.15"/>
    <x v="2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6B7193-FE68-4D23-8E4C-D3178BF8665A}" name="PivotTable2" cacheId="5"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C6:F12" firstHeaderRow="0" firstDataRow="1" firstDataCol="1"/>
  <pivotFields count="7">
    <pivotField showAll="0">
      <items count="11">
        <item x="7"/>
        <item h="1" x="1"/>
        <item h="1" x="3"/>
        <item h="1" x="5"/>
        <item h="1" x="4"/>
        <item h="1" x="6"/>
        <item h="1" x="8"/>
        <item h="1" x="2"/>
        <item h="1" x="9"/>
        <item h="1" x="0"/>
        <item t="default"/>
      </items>
    </pivotField>
    <pivotField axis="axisRow" showAll="0" sortType="descending">
      <items count="7">
        <item x="4"/>
        <item x="2"/>
        <item x="5"/>
        <item x="0"/>
        <item x="3"/>
        <item x="1"/>
        <item t="default"/>
      </items>
      <autoSortScope>
        <pivotArea dataOnly="0" outline="0" fieldPosition="0">
          <references count="1">
            <reference field="4294967294" count="1" selected="0">
              <x v="0"/>
            </reference>
          </references>
        </pivotArea>
      </autoSortScope>
    </pivotField>
    <pivotField showAll="0"/>
    <pivotField dataField="1" numFmtId="164" showAll="0"/>
    <pivotField dataField="1" numFmtId="3" showAll="0"/>
    <pivotField showAll="0"/>
    <pivotField showAll="0"/>
  </pivotFields>
  <rowFields count="1">
    <field x="1"/>
  </rowFields>
  <rowItems count="6">
    <i>
      <x v="4"/>
    </i>
    <i>
      <x v="3"/>
    </i>
    <i>
      <x v="1"/>
    </i>
    <i>
      <x/>
    </i>
    <i>
      <x v="2"/>
    </i>
    <i>
      <x v="5"/>
    </i>
  </rowItems>
  <colFields count="1">
    <field x="-2"/>
  </colFields>
  <colItems count="3">
    <i>
      <x/>
    </i>
    <i i="1">
      <x v="1"/>
    </i>
    <i i="2">
      <x v="2"/>
    </i>
  </colItems>
  <dataFields count="3">
    <dataField name="Sum of Amount" fld="3" baseField="0" baseItem="0" numFmtId="167"/>
    <dataField name="             " fld="3" baseField="1" baseItem="2" numFmtId="167"/>
    <dataField name="Sum of Units" fld="4" baseField="0" baseItem="0" numFmtId="168"/>
  </dataFields>
  <formats count="4">
    <format dxfId="190">
      <pivotArea outline="0" collapsedLevelsAreSubtotals="1" fieldPosition="0">
        <references count="1">
          <reference field="4294967294" count="1" selected="0">
            <x v="0"/>
          </reference>
        </references>
      </pivotArea>
    </format>
    <format dxfId="189">
      <pivotArea outline="0" collapsedLevelsAreSubtotals="1" fieldPosition="0">
        <references count="1">
          <reference field="4294967294" count="1" selected="0">
            <x v="1"/>
          </reference>
        </references>
      </pivotArea>
    </format>
    <format dxfId="188">
      <pivotArea outline="0" collapsedLevelsAreSubtotals="1" fieldPosition="0">
        <references count="1">
          <reference field="4294967294" count="1" selected="0">
            <x v="2"/>
          </reference>
        </references>
      </pivotArea>
    </format>
    <format dxfId="187">
      <pivotArea dataOnly="0" labelOnly="1"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815927-2000-4F4D-9A0F-6FF85EF3B2BB}"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5:I21" firstHeaderRow="1" firstDataRow="1" firstDataCol="1"/>
  <pivotFields count="2">
    <pivotField axis="axisRow" allDrilled="1" subtotalTop="0" showAll="0" measureFilter="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formats count="2">
    <format dxfId="184">
      <pivotArea collapsedLevelsAreSubtotals="1" fieldPosition="0">
        <references count="1">
          <reference field="0" count="0"/>
        </references>
      </pivotArea>
    </format>
    <format dxfId="183">
      <pivotArea dataOnly="0" labelOnly="1" fieldPosition="0">
        <references count="1">
          <reference field="0" count="1">
            <x v="3"/>
          </reference>
        </references>
      </pivotArea>
    </format>
  </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0" showRowHeaders="1" showColHeaders="1" showRowStripes="0" showColStripes="0" showLastColumn="1"/>
  <filters count="1">
    <filter fld="0" type="count" id="3" iMeasureHier="11">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078D73-FEDB-4321-AE22-37D3034578C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8:E31" firstHeaderRow="0" firstDataRow="1" firstDataCol="1"/>
  <pivotFields count="4">
    <pivotField axis="axisRow" allDrilled="1" subtotalTop="0" showAll="0" defaultSubtotal="0" defaultAttributeDrillState="1">
      <items count="22">
        <item x="2"/>
        <item x="4"/>
        <item x="6"/>
        <item x="17"/>
        <item x="18"/>
        <item x="0"/>
        <item x="1"/>
        <item x="3"/>
        <item x="5"/>
        <item x="7"/>
        <item x="8"/>
        <item x="9"/>
        <item x="10"/>
        <item x="11"/>
        <item x="12"/>
        <item x="13"/>
        <item x="14"/>
        <item x="15"/>
        <item x="16"/>
        <item x="19"/>
        <item x="20"/>
        <item x="21"/>
      </items>
    </pivotField>
    <pivotField dataField="1" subtotalTop="0" showAll="0" defaultSubtotal="0"/>
    <pivotField dataField="1" subtotalTop="0" showAll="0" defaultSubtotal="0"/>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i="1">
      <x v="1"/>
    </i>
    <i i="2">
      <x v="2"/>
    </i>
  </colItems>
  <dataFields count="3">
    <dataField name="Sum of Amount" fld="2" baseField="0" baseItem="0"/>
    <dataField name="Sum of Units" fld="3" baseField="0" baseItem="0"/>
    <dataField fld="1" subtotal="count" baseField="0" baseItem="0"/>
  </dataFields>
  <formats count="2">
    <format dxfId="186">
      <pivotArea collapsedLevelsAreSubtotals="1" fieldPosition="0">
        <references count="1">
          <reference field="0" count="0"/>
        </references>
      </pivotArea>
    </format>
    <format dxfId="185">
      <pivotArea collapsedLevelsAreSubtotals="1" fieldPosition="0">
        <references count="2">
          <reference field="4294967294" count="1" selected="0">
            <x v="1"/>
          </reference>
          <reference field="0" count="0"/>
        </references>
      </pivotArea>
    </format>
  </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2"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6AF48E-1EDD-4286-98CB-AFAAAFDB20DB}"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0:H23" firstHeaderRow="1" firstDataRow="1" firstDataCol="1"/>
  <pivotFields count="7">
    <pivotField axis="axisRow" showAll="0" measureFilter="1" sortType="de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axis="axisRow" showAll="0">
      <items count="7">
        <item x="4"/>
        <item x="2"/>
        <item x="5"/>
        <item x="0"/>
        <item x="3"/>
        <item x="1"/>
        <item t="default"/>
      </items>
    </pivotField>
    <pivotField showAll="0"/>
    <pivotField dataField="1" numFmtId="164" showAll="0"/>
    <pivotField numFmtId="3" showAll="0"/>
    <pivotField showAll="0"/>
    <pivotField showAll="0"/>
  </pivotFields>
  <rowFields count="2">
    <field x="1"/>
    <field x="0"/>
  </rowFields>
  <rowItems count="13">
    <i>
      <x/>
    </i>
    <i r="1">
      <x v="2"/>
    </i>
    <i>
      <x v="1"/>
    </i>
    <i r="1">
      <x v="1"/>
    </i>
    <i>
      <x v="2"/>
    </i>
    <i r="1">
      <x v="1"/>
    </i>
    <i>
      <x v="3"/>
    </i>
    <i r="1">
      <x v="8"/>
    </i>
    <i>
      <x v="4"/>
    </i>
    <i r="1">
      <x v="2"/>
    </i>
    <i>
      <x v="5"/>
    </i>
    <i r="1">
      <x/>
    </i>
    <i t="grand">
      <x/>
    </i>
  </rowItems>
  <colItems count="1">
    <i/>
  </colItems>
  <dataFields count="1">
    <dataField name="Sum of Amount" fld="3" baseField="0" baseItem="0"/>
  </dataFields>
  <formats count="24">
    <format dxfId="143">
      <pivotArea type="all" dataOnly="0" outline="0" fieldPosition="0"/>
    </format>
    <format dxfId="142">
      <pivotArea outline="0" collapsedLevelsAreSubtotals="1" fieldPosition="0"/>
    </format>
    <format dxfId="141">
      <pivotArea field="1" type="button" dataOnly="0" labelOnly="1" outline="0" axis="axisRow" fieldPosition="0"/>
    </format>
    <format dxfId="140">
      <pivotArea dataOnly="0" labelOnly="1" fieldPosition="0">
        <references count="1">
          <reference field="1" count="0"/>
        </references>
      </pivotArea>
    </format>
    <format dxfId="139">
      <pivotArea dataOnly="0" labelOnly="1" grandRow="1" outline="0" fieldPosition="0"/>
    </format>
    <format dxfId="138">
      <pivotArea dataOnly="0" labelOnly="1" fieldPosition="0">
        <references count="2">
          <reference field="0" count="1">
            <x v="2"/>
          </reference>
          <reference field="1" count="1" selected="0">
            <x v="0"/>
          </reference>
        </references>
      </pivotArea>
    </format>
    <format dxfId="137">
      <pivotArea dataOnly="0" labelOnly="1" fieldPosition="0">
        <references count="2">
          <reference field="0" count="1">
            <x v="1"/>
          </reference>
          <reference field="1" count="1" selected="0">
            <x v="1"/>
          </reference>
        </references>
      </pivotArea>
    </format>
    <format dxfId="136">
      <pivotArea dataOnly="0" labelOnly="1" fieldPosition="0">
        <references count="2">
          <reference field="0" count="1">
            <x v="1"/>
          </reference>
          <reference field="1" count="1" selected="0">
            <x v="2"/>
          </reference>
        </references>
      </pivotArea>
    </format>
    <format dxfId="135">
      <pivotArea dataOnly="0" labelOnly="1" fieldPosition="0">
        <references count="2">
          <reference field="0" count="1">
            <x v="8"/>
          </reference>
          <reference field="1" count="1" selected="0">
            <x v="3"/>
          </reference>
        </references>
      </pivotArea>
    </format>
    <format dxfId="134">
      <pivotArea dataOnly="0" labelOnly="1" fieldPosition="0">
        <references count="2">
          <reference field="0" count="1">
            <x v="2"/>
          </reference>
          <reference field="1" count="1" selected="0">
            <x v="4"/>
          </reference>
        </references>
      </pivotArea>
    </format>
    <format dxfId="133">
      <pivotArea dataOnly="0" labelOnly="1" fieldPosition="0">
        <references count="2">
          <reference field="0" count="1">
            <x v="0"/>
          </reference>
          <reference field="1" count="1" selected="0">
            <x v="5"/>
          </reference>
        </references>
      </pivotArea>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1" type="button" dataOnly="0" labelOnly="1" outline="0" axis="axisRow" fieldPosition="0"/>
    </format>
    <format dxfId="128">
      <pivotArea dataOnly="0" labelOnly="1" fieldPosition="0">
        <references count="1">
          <reference field="1" count="0"/>
        </references>
      </pivotArea>
    </format>
    <format dxfId="127">
      <pivotArea dataOnly="0" labelOnly="1" grandRow="1" outline="0" fieldPosition="0"/>
    </format>
    <format dxfId="126">
      <pivotArea dataOnly="0" labelOnly="1" fieldPosition="0">
        <references count="2">
          <reference field="0" count="1">
            <x v="2"/>
          </reference>
          <reference field="1" count="1" selected="0">
            <x v="0"/>
          </reference>
        </references>
      </pivotArea>
    </format>
    <format dxfId="125">
      <pivotArea dataOnly="0" labelOnly="1" fieldPosition="0">
        <references count="2">
          <reference field="0" count="1">
            <x v="1"/>
          </reference>
          <reference field="1" count="1" selected="0">
            <x v="1"/>
          </reference>
        </references>
      </pivotArea>
    </format>
    <format dxfId="124">
      <pivotArea dataOnly="0" labelOnly="1" fieldPosition="0">
        <references count="2">
          <reference field="0" count="1">
            <x v="1"/>
          </reference>
          <reference field="1" count="1" selected="0">
            <x v="2"/>
          </reference>
        </references>
      </pivotArea>
    </format>
    <format dxfId="123">
      <pivotArea dataOnly="0" labelOnly="1" fieldPosition="0">
        <references count="2">
          <reference field="0" count="1">
            <x v="8"/>
          </reference>
          <reference field="1" count="1" selected="0">
            <x v="3"/>
          </reference>
        </references>
      </pivotArea>
    </format>
    <format dxfId="122">
      <pivotArea dataOnly="0" labelOnly="1" fieldPosition="0">
        <references count="2">
          <reference field="0" count="1">
            <x v="2"/>
          </reference>
          <reference field="1" count="1" selected="0">
            <x v="4"/>
          </reference>
        </references>
      </pivotArea>
    </format>
    <format dxfId="121">
      <pivotArea dataOnly="0" labelOnly="1" fieldPosition="0">
        <references count="2">
          <reference field="0" count="1">
            <x v="0"/>
          </reference>
          <reference field="1" count="1" selected="0">
            <x v="5"/>
          </reference>
        </references>
      </pivotArea>
    </format>
    <format dxfId="120">
      <pivotArea dataOnly="0" labelOnly="1" outline="0" axis="axisValues" fieldPosition="0"/>
    </format>
  </formats>
  <pivotTableStyleInfo name="PivotStyleMedium13" showRowHeaders="1" showColHeaders="1" showRowStripes="0" showColStripes="0" showLastColumn="1"/>
  <filters count="1">
    <filter fld="0" type="count" evalOrder="-1" id="5"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AACDDC-C05C-41E8-9FBE-18A9F442AAE1}"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0:D23" firstHeaderRow="1" firstDataRow="1" firstDataCol="1"/>
  <pivotFields count="7">
    <pivotField axis="axisRow" showAll="0" measureFilter="1" sortType="de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axis="axisRow" showAll="0">
      <items count="7">
        <item x="4"/>
        <item x="2"/>
        <item x="5"/>
        <item x="0"/>
        <item x="3"/>
        <item x="1"/>
        <item t="default"/>
      </items>
    </pivotField>
    <pivotField showAll="0"/>
    <pivotField dataField="1" numFmtId="164" showAll="0"/>
    <pivotField numFmtId="3" showAll="0"/>
    <pivotField showAll="0"/>
    <pivotField showAll="0"/>
  </pivotFields>
  <rowFields count="2">
    <field x="1"/>
    <field x="0"/>
  </rowFields>
  <rowItems count="13">
    <i>
      <x/>
    </i>
    <i r="1">
      <x v="5"/>
    </i>
    <i>
      <x v="1"/>
    </i>
    <i r="1">
      <x v="5"/>
    </i>
    <i>
      <x v="2"/>
    </i>
    <i r="1">
      <x v="5"/>
    </i>
    <i>
      <x v="3"/>
    </i>
    <i r="1">
      <x v="3"/>
    </i>
    <i>
      <x v="4"/>
    </i>
    <i r="1">
      <x/>
    </i>
    <i>
      <x v="5"/>
    </i>
    <i r="1">
      <x v="9"/>
    </i>
    <i t="grand">
      <x/>
    </i>
  </rowItems>
  <colItems count="1">
    <i/>
  </colItems>
  <dataFields count="1">
    <dataField name="Sum of Amount" fld="3" baseField="0" baseItem="0"/>
  </dataFields>
  <formats count="36">
    <format dxfId="179">
      <pivotArea type="all" dataOnly="0" outline="0" fieldPosition="0"/>
    </format>
    <format dxfId="178">
      <pivotArea outline="0" collapsedLevelsAreSubtotals="1" fieldPosition="0"/>
    </format>
    <format dxfId="177">
      <pivotArea field="1" type="button" dataOnly="0" labelOnly="1" outline="0" axis="axisRow" fieldPosition="0"/>
    </format>
    <format dxfId="176">
      <pivotArea dataOnly="0" labelOnly="1" fieldPosition="0">
        <references count="1">
          <reference field="1" count="0"/>
        </references>
      </pivotArea>
    </format>
    <format dxfId="175">
      <pivotArea dataOnly="0" labelOnly="1" grandRow="1" outline="0" fieldPosition="0"/>
    </format>
    <format dxfId="174">
      <pivotArea dataOnly="0" labelOnly="1" fieldPosition="0">
        <references count="2">
          <reference field="0" count="1">
            <x v="5"/>
          </reference>
          <reference field="1" count="1" selected="0">
            <x v="0"/>
          </reference>
        </references>
      </pivotArea>
    </format>
    <format dxfId="173">
      <pivotArea dataOnly="0" labelOnly="1" fieldPosition="0">
        <references count="2">
          <reference field="0" count="1">
            <x v="5"/>
          </reference>
          <reference field="1" count="1" selected="0">
            <x v="1"/>
          </reference>
        </references>
      </pivotArea>
    </format>
    <format dxfId="172">
      <pivotArea dataOnly="0" labelOnly="1" fieldPosition="0">
        <references count="2">
          <reference field="0" count="1">
            <x v="5"/>
          </reference>
          <reference field="1" count="1" selected="0">
            <x v="2"/>
          </reference>
        </references>
      </pivotArea>
    </format>
    <format dxfId="171">
      <pivotArea dataOnly="0" labelOnly="1" fieldPosition="0">
        <references count="2">
          <reference field="0" count="1">
            <x v="3"/>
          </reference>
          <reference field="1" count="1" selected="0">
            <x v="3"/>
          </reference>
        </references>
      </pivotArea>
    </format>
    <format dxfId="170">
      <pivotArea dataOnly="0" labelOnly="1" fieldPosition="0">
        <references count="2">
          <reference field="0" count="1">
            <x v="0"/>
          </reference>
          <reference field="1" count="1" selected="0">
            <x v="4"/>
          </reference>
        </references>
      </pivotArea>
    </format>
    <format dxfId="169">
      <pivotArea dataOnly="0" labelOnly="1" fieldPosition="0">
        <references count="2">
          <reference field="0" count="1">
            <x v="9"/>
          </reference>
          <reference field="1" count="1" selected="0">
            <x v="5"/>
          </reference>
        </references>
      </pivotArea>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1" type="button" dataOnly="0" labelOnly="1" outline="0" axis="axisRow" fieldPosition="0"/>
    </format>
    <format dxfId="164">
      <pivotArea dataOnly="0" labelOnly="1" fieldPosition="0">
        <references count="1">
          <reference field="1" count="0"/>
        </references>
      </pivotArea>
    </format>
    <format dxfId="163">
      <pivotArea dataOnly="0" labelOnly="1" grandRow="1" outline="0" fieldPosition="0"/>
    </format>
    <format dxfId="162">
      <pivotArea dataOnly="0" labelOnly="1" fieldPosition="0">
        <references count="2">
          <reference field="0" count="1">
            <x v="5"/>
          </reference>
          <reference field="1" count="1" selected="0">
            <x v="0"/>
          </reference>
        </references>
      </pivotArea>
    </format>
    <format dxfId="161">
      <pivotArea dataOnly="0" labelOnly="1" fieldPosition="0">
        <references count="2">
          <reference field="0" count="1">
            <x v="5"/>
          </reference>
          <reference field="1" count="1" selected="0">
            <x v="1"/>
          </reference>
        </references>
      </pivotArea>
    </format>
    <format dxfId="160">
      <pivotArea dataOnly="0" labelOnly="1" fieldPosition="0">
        <references count="2">
          <reference field="0" count="1">
            <x v="5"/>
          </reference>
          <reference field="1" count="1" selected="0">
            <x v="2"/>
          </reference>
        </references>
      </pivotArea>
    </format>
    <format dxfId="159">
      <pivotArea dataOnly="0" labelOnly="1" fieldPosition="0">
        <references count="2">
          <reference field="0" count="1">
            <x v="3"/>
          </reference>
          <reference field="1" count="1" selected="0">
            <x v="3"/>
          </reference>
        </references>
      </pivotArea>
    </format>
    <format dxfId="158">
      <pivotArea dataOnly="0" labelOnly="1" fieldPosition="0">
        <references count="2">
          <reference field="0" count="1">
            <x v="0"/>
          </reference>
          <reference field="1" count="1" selected="0">
            <x v="4"/>
          </reference>
        </references>
      </pivotArea>
    </format>
    <format dxfId="157">
      <pivotArea dataOnly="0" labelOnly="1" fieldPosition="0">
        <references count="2">
          <reference field="0" count="1">
            <x v="9"/>
          </reference>
          <reference field="1" count="1" selected="0">
            <x v="5"/>
          </reference>
        </references>
      </pivotArea>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field="1" type="button" dataOnly="0" labelOnly="1" outline="0" axis="axisRow" fieldPosition="0"/>
    </format>
    <format dxfId="152">
      <pivotArea dataOnly="0" labelOnly="1" fieldPosition="0">
        <references count="1">
          <reference field="1" count="0"/>
        </references>
      </pivotArea>
    </format>
    <format dxfId="151">
      <pivotArea dataOnly="0" labelOnly="1" grandRow="1" outline="0" fieldPosition="0"/>
    </format>
    <format dxfId="150">
      <pivotArea dataOnly="0" labelOnly="1" fieldPosition="0">
        <references count="2">
          <reference field="0" count="1">
            <x v="5"/>
          </reference>
          <reference field="1" count="1" selected="0">
            <x v="0"/>
          </reference>
        </references>
      </pivotArea>
    </format>
    <format dxfId="149">
      <pivotArea dataOnly="0" labelOnly="1" fieldPosition="0">
        <references count="2">
          <reference field="0" count="1">
            <x v="5"/>
          </reference>
          <reference field="1" count="1" selected="0">
            <x v="1"/>
          </reference>
        </references>
      </pivotArea>
    </format>
    <format dxfId="148">
      <pivotArea dataOnly="0" labelOnly="1" fieldPosition="0">
        <references count="2">
          <reference field="0" count="1">
            <x v="5"/>
          </reference>
          <reference field="1" count="1" selected="0">
            <x v="2"/>
          </reference>
        </references>
      </pivotArea>
    </format>
    <format dxfId="147">
      <pivotArea dataOnly="0" labelOnly="1" fieldPosition="0">
        <references count="2">
          <reference field="0" count="1">
            <x v="3"/>
          </reference>
          <reference field="1" count="1" selected="0">
            <x v="3"/>
          </reference>
        </references>
      </pivotArea>
    </format>
    <format dxfId="146">
      <pivotArea dataOnly="0" labelOnly="1" fieldPosition="0">
        <references count="2">
          <reference field="0" count="1">
            <x v="0"/>
          </reference>
          <reference field="1" count="1" selected="0">
            <x v="4"/>
          </reference>
        </references>
      </pivotArea>
    </format>
    <format dxfId="145">
      <pivotArea dataOnly="0" labelOnly="1" fieldPosition="0">
        <references count="2">
          <reference field="0" count="1">
            <x v="9"/>
          </reference>
          <reference field="1" count="1" selected="0">
            <x v="5"/>
          </reference>
        </references>
      </pivotArea>
    </format>
    <format dxfId="144">
      <pivotArea dataOnly="0" labelOnly="1" outline="0" axis="axisValues" fieldPosition="0"/>
    </format>
  </formats>
  <pivotTableStyleInfo name="PivotStyleMedium13" showRowHeaders="1" showColHeaders="1" showRowStripes="0" showColStripes="0" showLastColumn="1"/>
  <filters count="1">
    <filter fld="0"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D117B6-BAE8-4EA8-9121-89D623773B15}" name="PivotTable1"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7:E30" firstHeaderRow="0" firstDataRow="1" firstDataCol="1"/>
  <pivotFields count="4">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dataField="1" subtotalTop="0" showAll="0" defaultSubtotal="0"/>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3">
    <i>
      <x/>
    </i>
    <i i="1">
      <x v="1"/>
    </i>
    <i i="2">
      <x v="2"/>
    </i>
  </colItems>
  <dataFields count="3">
    <dataField name="Sum of Amount" fld="2" baseField="0" baseItem="0" numFmtId="167"/>
    <dataField name="Sum of Cost" fld="1" baseField="0" baseItem="0" numFmtId="167"/>
    <dataField fld="3" subtotal="count" baseField="0" baseItem="0"/>
  </dataFields>
  <formats count="16">
    <format dxfId="94">
      <pivotArea dataOnly="0" labelOnly="1" outline="0" fieldPosition="0">
        <references count="1">
          <reference field="4294967294" count="2">
            <x v="0"/>
            <x v="1"/>
          </reference>
        </references>
      </pivotArea>
    </format>
    <format dxfId="93">
      <pivotArea dataOnly="0" labelOnly="1" outline="0" fieldPosition="0">
        <references count="1">
          <reference field="4294967294" count="2">
            <x v="0"/>
            <x v="1"/>
          </reference>
        </references>
      </pivotArea>
    </format>
    <format dxfId="92">
      <pivotArea dataOnly="0" labelOnly="1" outline="0" fieldPosition="0">
        <references count="1">
          <reference field="4294967294" count="2">
            <x v="0"/>
            <x v="1"/>
          </reference>
        </references>
      </pivotArea>
    </format>
    <format dxfId="91">
      <pivotArea dataOnly="0" labelOnly="1" outline="0" fieldPosition="0">
        <references count="1">
          <reference field="4294967294" count="2">
            <x v="0"/>
            <x v="1"/>
          </reference>
        </references>
      </pivotArea>
    </format>
    <format dxfId="90">
      <pivotArea dataOnly="0" labelOnly="1" outline="0" fieldPosition="0">
        <references count="1">
          <reference field="4294967294" count="2">
            <x v="0"/>
            <x v="1"/>
          </reference>
        </references>
      </pivotArea>
    </format>
    <format dxfId="89">
      <pivotArea dataOnly="0" labelOnly="1" outline="0" fieldPosition="0">
        <references count="1">
          <reference field="4294967294" count="2">
            <x v="0"/>
            <x v="1"/>
          </reference>
        </references>
      </pivotArea>
    </format>
    <format dxfId="88">
      <pivotArea dataOnly="0" labelOnly="1" outline="0" fieldPosition="0">
        <references count="1">
          <reference field="4294967294" count="2">
            <x v="0"/>
            <x v="1"/>
          </reference>
        </references>
      </pivotArea>
    </format>
    <format dxfId="87">
      <pivotArea dataOnly="0" labelOnly="1" outline="0" fieldPosition="0">
        <references count="1">
          <reference field="4294967294" count="2">
            <x v="0"/>
            <x v="1"/>
          </reference>
        </references>
      </pivotArea>
    </format>
    <format dxfId="86">
      <pivotArea dataOnly="0" labelOnly="1" outline="0" fieldPosition="0">
        <references count="1">
          <reference field="4294967294" count="2">
            <x v="0"/>
            <x v="1"/>
          </reference>
        </references>
      </pivotArea>
    </format>
    <format dxfId="85">
      <pivotArea dataOnly="0" labelOnly="1" outline="0" fieldPosition="0">
        <references count="1">
          <reference field="4294967294" count="2">
            <x v="0"/>
            <x v="1"/>
          </reference>
        </references>
      </pivotArea>
    </format>
    <format dxfId="84">
      <pivotArea outline="0" collapsedLevelsAreSubtotals="1" fieldPosition="0">
        <references count="1">
          <reference field="4294967294" count="1" selected="0">
            <x v="1"/>
          </reference>
        </references>
      </pivotArea>
    </format>
    <format dxfId="83">
      <pivotArea collapsedLevelsAreSubtotals="1" fieldPosition="0">
        <references count="2">
          <reference field="4294967294" count="1" selected="0">
            <x v="0"/>
          </reference>
          <reference field="0" count="0"/>
        </references>
      </pivotArea>
    </format>
    <format dxfId="82">
      <pivotArea outline="0" collapsedLevelsAreSubtotals="1" fieldPosition="0">
        <references count="1">
          <reference field="4294967294" count="1" selected="0">
            <x v="0"/>
          </reference>
        </references>
      </pivotArea>
    </format>
    <format dxfId="81">
      <pivotArea dataOnly="0" labelOnly="1" outline="0" fieldPosition="0">
        <references count="1">
          <reference field="4294967294" count="2">
            <x v="1"/>
            <x v="2"/>
          </reference>
        </references>
      </pivotArea>
    </format>
    <format dxfId="80">
      <pivotArea dataOnly="0" labelOnly="1" outline="0" fieldPosition="0">
        <references count="1">
          <reference field="4294967294" count="2">
            <x v="1"/>
            <x v="2"/>
          </reference>
        </references>
      </pivotArea>
    </format>
    <format dxfId="79">
      <pivotArea dataOnly="0" labelOnly="1" outline="0" fieldPosition="0">
        <references count="1">
          <reference field="4294967294" count="1">
            <x v="0"/>
          </reference>
        </references>
      </pivotArea>
    </format>
  </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524AE9-A1B7-44E7-8409-C78B514F146D}" name="PivotTable2"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8:H30" firstHeaderRow="1" firstDataRow="1" firstDataCol="1"/>
  <pivotFields count="3">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allDrilled="1" subtotalTop="0" showAll="0" dataSourceSort="1" defaultSubtotal="0"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fld="1" subtotal="count" baseField="0" baseItem="0"/>
  </dataFields>
  <formats count="25">
    <format dxfId="119">
      <pivotArea type="all" dataOnly="0" outline="0" fieldPosition="0"/>
    </format>
    <format dxfId="118">
      <pivotArea outline="0" collapsedLevelsAreSubtotals="1" fieldPosition="0"/>
    </format>
    <format dxfId="117">
      <pivotArea field="0" type="button" dataOnly="0" labelOnly="1" outline="0" axis="axisRow" fieldPosition="0"/>
    </format>
    <format dxfId="116">
      <pivotArea dataOnly="0" labelOnly="1" fieldPosition="0">
        <references count="1">
          <reference field="0" count="0"/>
        </references>
      </pivotArea>
    </format>
    <format dxfId="115">
      <pivotArea dataOnly="0" labelOnly="1" grandRow="1" outline="0" fieldPosition="0"/>
    </format>
    <format dxfId="114">
      <pivotArea dataOnly="0" labelOnly="1" outline="0" axis="axisValues" fieldPosition="0"/>
    </format>
    <format dxfId="113">
      <pivotArea dataOnly="0" labelOnly="1" fieldPosition="0">
        <references count="1">
          <reference field="0" count="1">
            <x v="5"/>
          </reference>
        </references>
      </pivotArea>
    </format>
    <format dxfId="112">
      <pivotArea type="all" dataOnly="0" outline="0" fieldPosition="0"/>
    </format>
    <format dxfId="111">
      <pivotArea outline="0" collapsedLevelsAreSubtotals="1" fieldPosition="0"/>
    </format>
    <format dxfId="110">
      <pivotArea field="0" type="button" dataOnly="0" labelOnly="1" outline="0" axis="axisRow" fieldPosition="0"/>
    </format>
    <format dxfId="109">
      <pivotArea dataOnly="0" labelOnly="1" fieldPosition="0">
        <references count="1">
          <reference field="0" count="0"/>
        </references>
      </pivotArea>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0" type="button" dataOnly="0" labelOnly="1" outline="0" axis="axisRow" fieldPosition="0"/>
    </format>
    <format dxfId="103">
      <pivotArea dataOnly="0" labelOnly="1" fieldPosition="0">
        <references count="1">
          <reference field="0" count="0"/>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0" type="button" dataOnly="0" labelOnly="1" outline="0" axis="axisRow" fieldPosition="0"/>
    </format>
    <format dxfId="97">
      <pivotArea dataOnly="0" labelOnly="1" fieldPosition="0">
        <references count="1">
          <reference field="0" count="0"/>
        </references>
      </pivotArea>
    </format>
    <format dxfId="96">
      <pivotArea dataOnly="0" labelOnly="1" grandRow="1" outline="0" fieldPosition="0"/>
    </format>
    <format dxfId="95">
      <pivotArea dataOnly="0" labelOnly="1" outline="0" axis="axisValues" fieldPosition="0"/>
    </format>
  </formats>
  <pivotHierarchies count="16">
    <pivotHierarchy dragToData="1"/>
    <pivotHierarchy multipleItemSelectionAllowed="1" dragToData="1">
      <members count="1" level="1">
        <member name="[data].[Geography].&amp;[Ind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0"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3619A2-E58A-4B12-9FF5-B77CD1FC14C1}"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6:G27" firstHeaderRow="0" firstDataRow="1" firstDataCol="1"/>
  <pivotFields count="6">
    <pivotField axis="axisRow" allDrilled="1" subtotalTop="0" showAll="0" sortType="a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v="9"/>
    </i>
    <i>
      <x v="10"/>
    </i>
    <i>
      <x v="12"/>
    </i>
    <i>
      <x v="15"/>
    </i>
    <i>
      <x v="14"/>
    </i>
    <i>
      <x v="2"/>
    </i>
    <i>
      <x v="3"/>
    </i>
    <i>
      <x v="11"/>
    </i>
    <i>
      <x/>
    </i>
    <i>
      <x v="4"/>
    </i>
    <i>
      <x v="8"/>
    </i>
    <i>
      <x v="17"/>
    </i>
    <i>
      <x v="1"/>
    </i>
    <i>
      <x v="16"/>
    </i>
    <i>
      <x v="6"/>
    </i>
    <i>
      <x v="7"/>
    </i>
    <i>
      <x v="18"/>
    </i>
    <i>
      <x v="19"/>
    </i>
    <i>
      <x v="13"/>
    </i>
    <i>
      <x v="5"/>
    </i>
    <i t="grand">
      <x/>
    </i>
  </rowItems>
  <colFields count="1">
    <field x="-2"/>
  </colFields>
  <colItems count="4">
    <i>
      <x/>
    </i>
    <i i="1">
      <x v="1"/>
    </i>
    <i i="2">
      <x v="2"/>
    </i>
    <i i="3">
      <x v="3"/>
    </i>
  </colItems>
  <dataFields count="4">
    <dataField name="Sum of Amount" fld="1" baseField="0" baseItem="0" numFmtId="166"/>
    <dataField name="Sum of Cost" fld="2" baseField="0" baseItem="0" numFmtId="173"/>
    <dataField fld="3" subtotal="count" baseField="0" baseItem="0"/>
    <dataField fld="4" subtotal="count" baseField="0" baseItem="0"/>
  </dataFields>
  <formats count="2">
    <format dxfId="78">
      <pivotArea dataOnly="0" outline="0" fieldPosition="0">
        <references count="1">
          <reference field="4294967294" count="1">
            <x v="1"/>
          </reference>
        </references>
      </pivotArea>
    </format>
    <format dxfId="77">
      <pivotArea dataOnly="0" labelOnly="1" outline="0" fieldPosition="0">
        <references count="1">
          <reference field="4294967294" count="4">
            <x v="0"/>
            <x v="1"/>
            <x v="2"/>
            <x v="3"/>
          </reference>
        </references>
      </pivotArea>
    </format>
  </formats>
  <conditionalFormats count="1">
    <conditionalFormat priority="1">
      <pivotAreas count="1">
        <pivotArea type="data" collapsedLevelsAreSubtotals="1" fieldPosition="0">
          <references count="2">
            <reference field="4294967294" count="1" selected="0">
              <x v="3"/>
            </reference>
            <reference field="0" count="22">
              <x v="0"/>
              <x v="1"/>
              <x v="2"/>
              <x v="3"/>
              <x v="4"/>
              <x v="5"/>
              <x v="6"/>
              <x v="7"/>
              <x v="8"/>
              <x v="9"/>
              <x v="10"/>
              <x v="11"/>
              <x v="12"/>
              <x v="13"/>
              <x v="14"/>
              <x v="15"/>
              <x v="16"/>
              <x v="17"/>
              <x v="18"/>
              <x v="19"/>
              <x v="20"/>
              <x v="21"/>
            </reference>
          </references>
        </pivotArea>
      </pivotAreas>
    </conditionalFormat>
  </conditionalFormats>
  <pivotHierarchies count="16">
    <pivotHierarchy dragToData="1"/>
    <pivotHierarchy multipleItemSelectionAllowed="1" dragToData="1">
      <members count="1" level="1">
        <member name="[data].[Geograph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8"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DA-course-blank.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84469EE9-B91B-475D-959E-E501FB6F1D77}" sourceName="Sales Person">
  <pivotTables>
    <pivotTable tabId="7" name="PivotTable2"/>
  </pivotTables>
  <data>
    <tabular pivotCacheId="882572792">
      <items count="10">
        <i x="7" s="1"/>
        <i x="1"/>
        <i x="3"/>
        <i x="5"/>
        <i x="4"/>
        <i x="6"/>
        <i x="8"/>
        <i x="2"/>
        <i x="9"/>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456967C2-E63A-4C74-99CA-A081F0EFECF6}" sourceName="[data].[Geography]">
  <pivotTables>
    <pivotTable tabId="12" name="PivotTable2"/>
  </pivotTables>
  <data>
    <olap pivotCacheId="1394054646">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mp;[India]"/>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F14D0AF7-FEC8-487B-9BE3-D308A893AF0B}" sourceName="[data].[Geography]">
  <pivotTables>
    <pivotTable tabId="17" name="PivotTable2"/>
  </pivotTables>
  <data>
    <olap pivotCacheId="1394054646">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mp;[Austral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091F422C-3520-4433-B927-770BBE42B8E3}" cache="Slicer_Sales_Person" caption="Sales Person"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7A86284A-F158-41E8-B662-F09E132BCBA9}" cache="Slicer_Geography" caption="Geograph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CDF0C0EF-DA9F-4DC3-AA68-4636F4C00AB7}" cache="Slicer_Geography1" caption="Geograph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C1E92-D947-4232-891E-65555AD7A47E}" name="products" displayName="products" ref="L20:M42" totalsRowShown="0">
  <autoFilter ref="L20:M42" xr:uid="{6DAC1E92-D947-4232-891E-65555AD7A47E}"/>
  <tableColumns count="2">
    <tableColumn id="1" xr3:uid="{1B8963D1-E60F-4400-A175-651A513B826F}" name="Product"/>
    <tableColumn id="2" xr3:uid="{1798A7DA-FB9F-46D3-AA0A-B6BCA4A81AC3}" name="Cost per unit" dataDxfId="20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875A05-717C-4E81-B7E4-ECCA934C0A0A}" name="data" displayName="data" ref="C5:I305" totalsRowShown="0" headerRowDxfId="204">
  <tableColumns count="7">
    <tableColumn id="1" xr3:uid="{4EC8069A-C981-4C41-A356-648F8D7566A6}" name="Sales Person"/>
    <tableColumn id="2" xr3:uid="{5862BDDE-88C2-46F4-A602-3A6049CCB41C}" name="Geography"/>
    <tableColumn id="3" xr3:uid="{8B9ED107-B670-46D6-BB7E-E3D0CD52A29A}" name="Product"/>
    <tableColumn id="4" xr3:uid="{3EAF0848-FF5A-4553-9394-661E1253420A}" name="Amount" dataDxfId="203"/>
    <tableColumn id="5" xr3:uid="{71402EFF-E604-4246-A814-E45198A14B69}" name="Units" dataDxfId="202"/>
    <tableColumn id="6" xr3:uid="{BCB7885D-097A-4FCA-9841-F08C5B639A34}" name="Cost per Unit" dataDxfId="201">
      <calculatedColumnFormula>_xlfn.XLOOKUP(data[[#This Row],[Product]],products[Product],products[Cost per unit])</calculatedColumnFormula>
    </tableColumn>
    <tableColumn id="7" xr3:uid="{88F652A2-6C4D-48BB-9EDB-5184DF219D5C}" name="Cost" dataDxfId="200">
      <calculatedColumnFormula>data[[#This Row],[Cost per Unit]]*data[[#This Row],[Units]]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199F16-42A9-4094-B049-47E5B499A656}" name="data4" displayName="data4" ref="C5:G305" totalsRowShown="0" headerRowDxfId="199">
  <tableColumns count="5">
    <tableColumn id="1" xr3:uid="{207FE3CB-5694-4E1D-91A7-1CF668F742FB}" name="Sales Person"/>
    <tableColumn id="2" xr3:uid="{892CC80D-A29D-4132-83CC-7E6512B91357}" name="Geography"/>
    <tableColumn id="3" xr3:uid="{64B0C947-0149-4253-AA42-23741DE72B62}" name="Product"/>
    <tableColumn id="4" xr3:uid="{5333805B-9E18-40BA-BB83-23945952401B}" name="Amount" dataDxfId="198"/>
    <tableColumn id="5" xr3:uid="{7169F623-8B91-46B8-9364-B5BC3AFF6A55}" name="Units" dataDxfId="19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861ECC-1E62-49D7-91FD-C68E1C8F0504}" name="data45" displayName="data45" ref="J5:N305" totalsRowShown="0" headerRowDxfId="196">
  <autoFilter ref="J5:N305" xr:uid="{DE861ECC-1E62-49D7-91FD-C68E1C8F0504}"/>
  <sortState xmlns:xlrd2="http://schemas.microsoft.com/office/spreadsheetml/2017/richdata2" ref="J6:N305">
    <sortCondition descending="1" ref="M5:M305"/>
  </sortState>
  <tableColumns count="5">
    <tableColumn id="1" xr3:uid="{08C2EA05-5A51-4A8C-91E0-4A33CC3A0822}" name="Sales Person"/>
    <tableColumn id="2" xr3:uid="{3572D7CE-4463-43FD-BB50-D2957B7692C8}" name="Geography"/>
    <tableColumn id="3" xr3:uid="{17CA0C02-4E36-4AAA-A63C-8B619874B3C6}" name="Product"/>
    <tableColumn id="4" xr3:uid="{BD261693-538A-48B4-BE1F-05F5EFD8DA2F}" name="Amount" dataDxfId="195"/>
    <tableColumn id="5" xr3:uid="{C4C75C3D-C64B-4E2C-B373-3EF68127EB98}" name="Units" dataDxfId="19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9B58205-0098-49A0-8609-EEF400A3314B}" name="data8" displayName="data8" ref="Q5:U305" totalsRowShown="0" headerRowDxfId="193">
  <autoFilter ref="Q5:U305" xr:uid="{69B58205-0098-49A0-8609-EEF400A3314B}"/>
  <sortState xmlns:xlrd2="http://schemas.microsoft.com/office/spreadsheetml/2017/richdata2" ref="Q6:U305">
    <sortCondition descending="1" ref="U5:U305"/>
  </sortState>
  <tableColumns count="5">
    <tableColumn id="1" xr3:uid="{C0BE5769-CF94-4DFC-9245-E0DE9DE6867F}" name="Sales Person"/>
    <tableColumn id="2" xr3:uid="{CEBC8117-DEEC-4154-AF07-BC58A56719A0}" name="Geography"/>
    <tableColumn id="3" xr3:uid="{F87F7B52-95A7-4ECF-8C58-A213618D25C3}" name="Product"/>
    <tableColumn id="4" xr3:uid="{2A80942F-6911-4345-B358-90362A7D6F77}" name="Amount" dataDxfId="192"/>
    <tableColumn id="5" xr3:uid="{963DF959-7AFA-478E-9F17-0A022845E9D1}" name="Units" dataDxfId="19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687835-6F99-4EAE-8E22-8C4FE789F152}" name="data6" displayName="data6" ref="O4:S304" totalsRowShown="0" headerRowDxfId="182">
  <tableColumns count="5">
    <tableColumn id="1" xr3:uid="{B3ED8D18-8DF9-43DA-A884-6B50E95C648C}" name="Sales Person"/>
    <tableColumn id="2" xr3:uid="{B9CA079E-C9A3-4B18-9D0A-38C125C88E84}" name="Geography"/>
    <tableColumn id="3" xr3:uid="{7433F3B2-7D70-46B4-857B-DC67C1A7CA46}" name="Product"/>
    <tableColumn id="4" xr3:uid="{53F9A353-49F6-4A2D-A0FA-93B257F00F11}" name="Amount" dataDxfId="181"/>
    <tableColumn id="5" xr3:uid="{BBA3C285-A21E-4BC1-9631-5A467DBA3C47}" name="Units" dataDxfId="18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5.bin"/><Relationship Id="rId1" Type="http://schemas.openxmlformats.org/officeDocument/2006/relationships/pivotTable" Target="../pivotTables/pivot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2.xml"/><Relationship Id="rId4"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0.bin"/><Relationship Id="rId1" Type="http://schemas.openxmlformats.org/officeDocument/2006/relationships/pivotTable" Target="../pivotTables/pivotTable8.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C1:M658"/>
  <sheetViews>
    <sheetView showGridLines="0" zoomScaleNormal="100" workbookViewId="0">
      <selection activeCell="L21" sqref="L21"/>
    </sheetView>
  </sheetViews>
  <sheetFormatPr defaultRowHeight="14.4" x14ac:dyDescent="0.3"/>
  <cols>
    <col min="1" max="1" width="1.6640625" customWidth="1"/>
    <col min="2" max="2" width="3.6640625" customWidth="1"/>
    <col min="3" max="3" width="17" customWidth="1"/>
    <col min="4" max="4" width="21.44140625" customWidth="1"/>
    <col min="5" max="5" width="21.88671875" bestFit="1" customWidth="1"/>
    <col min="6" max="6" width="13.5546875" customWidth="1"/>
    <col min="7" max="7" width="10.21875" customWidth="1"/>
    <col min="8" max="8" width="14.88671875" customWidth="1"/>
    <col min="9" max="9" width="10.21875" bestFit="1" customWidth="1"/>
    <col min="10" max="10" width="8.33203125" customWidth="1"/>
    <col min="11" max="11" width="9.77734375" bestFit="1" customWidth="1"/>
    <col min="12" max="12" width="47.21875" customWidth="1"/>
    <col min="13" max="13" width="14.33203125" customWidth="1"/>
    <col min="25" max="25" width="21.88671875" bestFit="1" customWidth="1"/>
    <col min="26" max="26" width="14.44140625" customWidth="1"/>
    <col min="31" max="31" width="21.88671875" customWidth="1"/>
  </cols>
  <sheetData>
    <row r="1" spans="3:12" s="66" customFormat="1" ht="52.5" customHeight="1" x14ac:dyDescent="0.3">
      <c r="C1" s="67" t="s">
        <v>98</v>
      </c>
    </row>
    <row r="2" spans="3:12" s="1" customFormat="1" ht="20.399999999999999" x14ac:dyDescent="0.35">
      <c r="C2" s="65" t="s">
        <v>126</v>
      </c>
    </row>
    <row r="3" spans="3:12" ht="12.6" customHeight="1" x14ac:dyDescent="0.3"/>
    <row r="4" spans="3:12" x14ac:dyDescent="0.3">
      <c r="C4" s="4" t="s">
        <v>137</v>
      </c>
    </row>
    <row r="5" spans="3:12" ht="15.6" x14ac:dyDescent="0.3">
      <c r="C5" s="4" t="s">
        <v>11</v>
      </c>
      <c r="D5" s="4" t="s">
        <v>12</v>
      </c>
      <c r="E5" s="4" t="s">
        <v>0</v>
      </c>
      <c r="F5" s="7" t="s">
        <v>1</v>
      </c>
      <c r="G5" s="7" t="s">
        <v>43</v>
      </c>
      <c r="H5" s="7" t="s">
        <v>82</v>
      </c>
      <c r="I5" s="7" t="s">
        <v>97</v>
      </c>
      <c r="L5" s="68" t="s">
        <v>139</v>
      </c>
    </row>
    <row r="6" spans="3:12" x14ac:dyDescent="0.3">
      <c r="C6" t="s">
        <v>40</v>
      </c>
      <c r="D6" t="s">
        <v>37</v>
      </c>
      <c r="E6" t="s">
        <v>30</v>
      </c>
      <c r="F6" s="2">
        <v>1624</v>
      </c>
      <c r="G6" s="3">
        <v>114</v>
      </c>
      <c r="H6">
        <f>_xlfn.XLOOKUP(data[[#This Row],[Product]],products[Product],products[Cost per unit])</f>
        <v>14.49</v>
      </c>
      <c r="I6" s="29">
        <f>data[[#This Row],[Cost per Unit]]*data[[#This Row],[Units]]</f>
        <v>1651.8600000000001</v>
      </c>
    </row>
    <row r="7" spans="3:12" x14ac:dyDescent="0.3">
      <c r="C7" t="s">
        <v>8</v>
      </c>
      <c r="D7" t="s">
        <v>35</v>
      </c>
      <c r="E7" t="s">
        <v>32</v>
      </c>
      <c r="F7" s="2">
        <v>6706</v>
      </c>
      <c r="G7" s="3">
        <v>459</v>
      </c>
      <c r="H7">
        <f>_xlfn.XLOOKUP(data[[#This Row],[Product]],products[Product],products[Cost per unit])</f>
        <v>8.65</v>
      </c>
      <c r="I7" s="29">
        <f>data[[#This Row],[Cost per Unit]]*data[[#This Row],[Units]]</f>
        <v>3970.3500000000004</v>
      </c>
      <c r="L7" s="6" t="s">
        <v>42</v>
      </c>
    </row>
    <row r="8" spans="3:12" x14ac:dyDescent="0.3">
      <c r="C8" t="s">
        <v>9</v>
      </c>
      <c r="D8" t="s">
        <v>35</v>
      </c>
      <c r="E8" t="s">
        <v>4</v>
      </c>
      <c r="F8" s="2">
        <v>959</v>
      </c>
      <c r="G8" s="3">
        <v>147</v>
      </c>
      <c r="H8">
        <f>_xlfn.XLOOKUP(data[[#This Row],[Product]],products[Product],products[Cost per unit])</f>
        <v>11.88</v>
      </c>
      <c r="I8" s="29">
        <f>data[[#This Row],[Cost per Unit]]*data[[#This Row],[Units]]</f>
        <v>1746.3600000000001</v>
      </c>
      <c r="L8" s="5" t="s">
        <v>134</v>
      </c>
    </row>
    <row r="9" spans="3:12" x14ac:dyDescent="0.3">
      <c r="C9" t="s">
        <v>41</v>
      </c>
      <c r="D9" t="s">
        <v>36</v>
      </c>
      <c r="E9" t="s">
        <v>18</v>
      </c>
      <c r="F9" s="2">
        <v>9632</v>
      </c>
      <c r="G9" s="3">
        <v>288</v>
      </c>
      <c r="H9">
        <f>_xlfn.XLOOKUP(data[[#This Row],[Product]],products[Product],products[Cost per unit])</f>
        <v>6.47</v>
      </c>
      <c r="I9" s="29">
        <f>data[[#This Row],[Cost per Unit]]*data[[#This Row],[Units]]</f>
        <v>1863.36</v>
      </c>
      <c r="L9" s="5" t="s">
        <v>133</v>
      </c>
    </row>
    <row r="10" spans="3:12" x14ac:dyDescent="0.3">
      <c r="C10" t="s">
        <v>6</v>
      </c>
      <c r="D10" t="s">
        <v>39</v>
      </c>
      <c r="E10" t="s">
        <v>25</v>
      </c>
      <c r="F10" s="2">
        <v>2100</v>
      </c>
      <c r="G10" s="3">
        <v>414</v>
      </c>
      <c r="H10">
        <f>_xlfn.XLOOKUP(data[[#This Row],[Product]],products[Product],products[Cost per unit])</f>
        <v>13.15</v>
      </c>
      <c r="I10" s="29">
        <f>data[[#This Row],[Cost per Unit]]*data[[#This Row],[Units]]</f>
        <v>5444.1</v>
      </c>
      <c r="L10" s="5" t="s">
        <v>132</v>
      </c>
    </row>
    <row r="11" spans="3:12" x14ac:dyDescent="0.3">
      <c r="C11" t="s">
        <v>40</v>
      </c>
      <c r="D11" t="s">
        <v>35</v>
      </c>
      <c r="E11" t="s">
        <v>33</v>
      </c>
      <c r="F11" s="2">
        <v>8869</v>
      </c>
      <c r="G11" s="3">
        <v>432</v>
      </c>
      <c r="H11">
        <f>_xlfn.XLOOKUP(data[[#This Row],[Product]],products[Product],products[Cost per unit])</f>
        <v>12.37</v>
      </c>
      <c r="I11" s="29">
        <f>data[[#This Row],[Cost per Unit]]*data[[#This Row],[Units]]</f>
        <v>5343.8399999999992</v>
      </c>
      <c r="L11" s="5" t="s">
        <v>131</v>
      </c>
    </row>
    <row r="12" spans="3:12" x14ac:dyDescent="0.3">
      <c r="C12" t="s">
        <v>6</v>
      </c>
      <c r="D12" t="s">
        <v>38</v>
      </c>
      <c r="E12" t="s">
        <v>31</v>
      </c>
      <c r="F12" s="2">
        <v>2681</v>
      </c>
      <c r="G12" s="3">
        <v>54</v>
      </c>
      <c r="H12">
        <f>_xlfn.XLOOKUP(data[[#This Row],[Product]],products[Product],products[Cost per unit])</f>
        <v>5.79</v>
      </c>
      <c r="I12" s="29">
        <f>data[[#This Row],[Cost per Unit]]*data[[#This Row],[Units]]</f>
        <v>312.66000000000003</v>
      </c>
      <c r="L12" s="5" t="s">
        <v>130</v>
      </c>
    </row>
    <row r="13" spans="3:12" x14ac:dyDescent="0.3">
      <c r="C13" t="s">
        <v>8</v>
      </c>
      <c r="D13" t="s">
        <v>35</v>
      </c>
      <c r="E13" t="s">
        <v>22</v>
      </c>
      <c r="F13" s="2">
        <v>5012</v>
      </c>
      <c r="G13" s="3">
        <v>210</v>
      </c>
      <c r="H13">
        <f>_xlfn.XLOOKUP(data[[#This Row],[Product]],products[Product],products[Cost per unit])</f>
        <v>9.77</v>
      </c>
      <c r="I13" s="29">
        <f>data[[#This Row],[Cost per Unit]]*data[[#This Row],[Units]]</f>
        <v>2051.6999999999998</v>
      </c>
      <c r="L13" s="5" t="s">
        <v>129</v>
      </c>
    </row>
    <row r="14" spans="3:12" x14ac:dyDescent="0.3">
      <c r="C14" t="s">
        <v>7</v>
      </c>
      <c r="D14" t="s">
        <v>38</v>
      </c>
      <c r="E14" t="s">
        <v>14</v>
      </c>
      <c r="F14" s="2">
        <v>1281</v>
      </c>
      <c r="G14" s="3">
        <v>75</v>
      </c>
      <c r="H14">
        <f>_xlfn.XLOOKUP(data[[#This Row],[Product]],products[Product],products[Cost per unit])</f>
        <v>11.7</v>
      </c>
      <c r="I14" s="29">
        <f>data[[#This Row],[Cost per Unit]]*data[[#This Row],[Units]]</f>
        <v>877.5</v>
      </c>
      <c r="L14" s="5" t="s">
        <v>128</v>
      </c>
    </row>
    <row r="15" spans="3:12" x14ac:dyDescent="0.3">
      <c r="C15" t="s">
        <v>5</v>
      </c>
      <c r="D15" t="s">
        <v>37</v>
      </c>
      <c r="E15" t="s">
        <v>14</v>
      </c>
      <c r="F15" s="2">
        <v>4991</v>
      </c>
      <c r="G15" s="3">
        <v>12</v>
      </c>
      <c r="H15">
        <f>_xlfn.XLOOKUP(data[[#This Row],[Product]],products[Product],products[Cost per unit])</f>
        <v>11.7</v>
      </c>
      <c r="I15" s="29">
        <f>data[[#This Row],[Cost per Unit]]*data[[#This Row],[Units]]</f>
        <v>140.39999999999998</v>
      </c>
      <c r="L15" s="5" t="s">
        <v>136</v>
      </c>
    </row>
    <row r="16" spans="3:12" x14ac:dyDescent="0.3">
      <c r="C16" t="s">
        <v>2</v>
      </c>
      <c r="D16" t="s">
        <v>39</v>
      </c>
      <c r="E16" t="s">
        <v>25</v>
      </c>
      <c r="F16" s="2">
        <v>1785</v>
      </c>
      <c r="G16" s="3">
        <v>462</v>
      </c>
      <c r="H16">
        <f>_xlfn.XLOOKUP(data[[#This Row],[Product]],products[Product],products[Cost per unit])</f>
        <v>13.15</v>
      </c>
      <c r="I16" s="29">
        <f>data[[#This Row],[Cost per Unit]]*data[[#This Row],[Units]]</f>
        <v>6075.3</v>
      </c>
      <c r="L16" s="5" t="s">
        <v>127</v>
      </c>
    </row>
    <row r="17" spans="3:13" x14ac:dyDescent="0.3">
      <c r="C17" t="s">
        <v>3</v>
      </c>
      <c r="D17" t="s">
        <v>37</v>
      </c>
      <c r="E17" t="s">
        <v>17</v>
      </c>
      <c r="F17" s="2">
        <v>3983</v>
      </c>
      <c r="G17" s="3">
        <v>144</v>
      </c>
      <c r="H17">
        <f>_xlfn.XLOOKUP(data[[#This Row],[Product]],products[Product],products[Cost per unit])</f>
        <v>3.11</v>
      </c>
      <c r="I17" s="29">
        <f>data[[#This Row],[Cost per Unit]]*data[[#This Row],[Units]]</f>
        <v>447.84</v>
      </c>
      <c r="L17" s="5" t="s">
        <v>135</v>
      </c>
    </row>
    <row r="18" spans="3:13" x14ac:dyDescent="0.3">
      <c r="C18" t="s">
        <v>9</v>
      </c>
      <c r="D18" t="s">
        <v>38</v>
      </c>
      <c r="E18" t="s">
        <v>16</v>
      </c>
      <c r="F18" s="2">
        <v>2646</v>
      </c>
      <c r="G18" s="3">
        <v>120</v>
      </c>
      <c r="H18">
        <f>_xlfn.XLOOKUP(data[[#This Row],[Product]],products[Product],products[Cost per unit])</f>
        <v>8.7899999999999991</v>
      </c>
      <c r="I18" s="29">
        <f>data[[#This Row],[Cost per Unit]]*data[[#This Row],[Units]]</f>
        <v>1054.8</v>
      </c>
    </row>
    <row r="19" spans="3:13" x14ac:dyDescent="0.3">
      <c r="C19" t="s">
        <v>2</v>
      </c>
      <c r="D19" t="s">
        <v>34</v>
      </c>
      <c r="E19" t="s">
        <v>13</v>
      </c>
      <c r="F19" s="2">
        <v>252</v>
      </c>
      <c r="G19" s="3">
        <v>54</v>
      </c>
      <c r="H19">
        <f>_xlfn.XLOOKUP(data[[#This Row],[Product]],products[Product],products[Cost per unit])</f>
        <v>9.33</v>
      </c>
      <c r="I19" s="29">
        <f>data[[#This Row],[Cost per Unit]]*data[[#This Row],[Units]]</f>
        <v>503.82</v>
      </c>
      <c r="L19" s="4" t="s">
        <v>138</v>
      </c>
    </row>
    <row r="20" spans="3:13" x14ac:dyDescent="0.3">
      <c r="C20" t="s">
        <v>3</v>
      </c>
      <c r="D20" t="s">
        <v>35</v>
      </c>
      <c r="E20" t="s">
        <v>25</v>
      </c>
      <c r="F20" s="2">
        <v>2464</v>
      </c>
      <c r="G20" s="3">
        <v>234</v>
      </c>
      <c r="H20">
        <f>_xlfn.XLOOKUP(data[[#This Row],[Product]],products[Product],products[Cost per unit])</f>
        <v>13.15</v>
      </c>
      <c r="I20" s="29">
        <f>data[[#This Row],[Cost per Unit]]*data[[#This Row],[Units]]</f>
        <v>3077.1</v>
      </c>
      <c r="L20" t="s">
        <v>0</v>
      </c>
      <c r="M20" t="s">
        <v>44</v>
      </c>
    </row>
    <row r="21" spans="3:13" x14ac:dyDescent="0.3">
      <c r="C21" t="s">
        <v>3</v>
      </c>
      <c r="D21" t="s">
        <v>35</v>
      </c>
      <c r="E21" t="s">
        <v>29</v>
      </c>
      <c r="F21" s="2">
        <v>2114</v>
      </c>
      <c r="G21" s="3">
        <v>66</v>
      </c>
      <c r="H21">
        <f>_xlfn.XLOOKUP(data[[#This Row],[Product]],products[Product],products[Cost per unit])</f>
        <v>7.16</v>
      </c>
      <c r="I21" s="29">
        <f>data[[#This Row],[Cost per Unit]]*data[[#This Row],[Units]]</f>
        <v>472.56</v>
      </c>
      <c r="L21" t="s">
        <v>13</v>
      </c>
      <c r="M21" s="8">
        <v>9.33</v>
      </c>
    </row>
    <row r="22" spans="3:13" x14ac:dyDescent="0.3">
      <c r="C22" t="s">
        <v>6</v>
      </c>
      <c r="D22" t="s">
        <v>37</v>
      </c>
      <c r="E22" t="s">
        <v>31</v>
      </c>
      <c r="F22" s="2">
        <v>7693</v>
      </c>
      <c r="G22" s="3">
        <v>87</v>
      </c>
      <c r="H22">
        <f>_xlfn.XLOOKUP(data[[#This Row],[Product]],products[Product],products[Cost per unit])</f>
        <v>5.79</v>
      </c>
      <c r="I22" s="29">
        <f>data[[#This Row],[Cost per Unit]]*data[[#This Row],[Units]]</f>
        <v>503.73</v>
      </c>
      <c r="L22" t="s">
        <v>14</v>
      </c>
      <c r="M22" s="8">
        <v>11.7</v>
      </c>
    </row>
    <row r="23" spans="3:13" x14ac:dyDescent="0.3">
      <c r="C23" t="s">
        <v>5</v>
      </c>
      <c r="D23" t="s">
        <v>34</v>
      </c>
      <c r="E23" t="s">
        <v>20</v>
      </c>
      <c r="F23" s="2">
        <v>15610</v>
      </c>
      <c r="G23" s="3">
        <v>339</v>
      </c>
      <c r="H23">
        <f>_xlfn.XLOOKUP(data[[#This Row],[Product]],products[Product],products[Cost per unit])</f>
        <v>10.62</v>
      </c>
      <c r="I23" s="29">
        <f>data[[#This Row],[Cost per Unit]]*data[[#This Row],[Units]]</f>
        <v>3600.18</v>
      </c>
      <c r="L23" t="s">
        <v>4</v>
      </c>
      <c r="M23" s="8">
        <v>11.88</v>
      </c>
    </row>
    <row r="24" spans="3:13" x14ac:dyDescent="0.3">
      <c r="C24" t="s">
        <v>41</v>
      </c>
      <c r="D24" t="s">
        <v>34</v>
      </c>
      <c r="E24" t="s">
        <v>22</v>
      </c>
      <c r="F24" s="2">
        <v>336</v>
      </c>
      <c r="G24" s="3">
        <v>144</v>
      </c>
      <c r="H24">
        <f>_xlfn.XLOOKUP(data[[#This Row],[Product]],products[Product],products[Cost per unit])</f>
        <v>9.77</v>
      </c>
      <c r="I24" s="29">
        <f>data[[#This Row],[Cost per Unit]]*data[[#This Row],[Units]]</f>
        <v>1406.8799999999999</v>
      </c>
      <c r="L24" t="s">
        <v>15</v>
      </c>
      <c r="M24" s="8">
        <v>11.73</v>
      </c>
    </row>
    <row r="25" spans="3:13" x14ac:dyDescent="0.3">
      <c r="C25" t="s">
        <v>2</v>
      </c>
      <c r="D25" t="s">
        <v>39</v>
      </c>
      <c r="E25" t="s">
        <v>20</v>
      </c>
      <c r="F25" s="2">
        <v>9443</v>
      </c>
      <c r="G25" s="3">
        <v>162</v>
      </c>
      <c r="H25">
        <f>_xlfn.XLOOKUP(data[[#This Row],[Product]],products[Product],products[Cost per unit])</f>
        <v>10.62</v>
      </c>
      <c r="I25" s="29">
        <f>data[[#This Row],[Cost per Unit]]*data[[#This Row],[Units]]</f>
        <v>1720.4399999999998</v>
      </c>
      <c r="L25" t="s">
        <v>16</v>
      </c>
      <c r="M25" s="8">
        <v>8.7899999999999991</v>
      </c>
    </row>
    <row r="26" spans="3:13" x14ac:dyDescent="0.3">
      <c r="C26" t="s">
        <v>9</v>
      </c>
      <c r="D26" t="s">
        <v>34</v>
      </c>
      <c r="E26" t="s">
        <v>23</v>
      </c>
      <c r="F26" s="2">
        <v>8155</v>
      </c>
      <c r="G26" s="3">
        <v>90</v>
      </c>
      <c r="H26">
        <f>_xlfn.XLOOKUP(data[[#This Row],[Product]],products[Product],products[Cost per unit])</f>
        <v>6.49</v>
      </c>
      <c r="I26" s="29">
        <f>data[[#This Row],[Cost per Unit]]*data[[#This Row],[Units]]</f>
        <v>584.1</v>
      </c>
      <c r="L26" t="s">
        <v>17</v>
      </c>
      <c r="M26" s="8">
        <v>3.11</v>
      </c>
    </row>
    <row r="27" spans="3:13" x14ac:dyDescent="0.3">
      <c r="C27" t="s">
        <v>8</v>
      </c>
      <c r="D27" t="s">
        <v>38</v>
      </c>
      <c r="E27" t="s">
        <v>23</v>
      </c>
      <c r="F27" s="2">
        <v>1701</v>
      </c>
      <c r="G27" s="3">
        <v>234</v>
      </c>
      <c r="H27">
        <f>_xlfn.XLOOKUP(data[[#This Row],[Product]],products[Product],products[Cost per unit])</f>
        <v>6.49</v>
      </c>
      <c r="I27" s="29">
        <f>data[[#This Row],[Cost per Unit]]*data[[#This Row],[Units]]</f>
        <v>1518.66</v>
      </c>
      <c r="L27" t="s">
        <v>18</v>
      </c>
      <c r="M27" s="8">
        <v>6.47</v>
      </c>
    </row>
    <row r="28" spans="3:13" x14ac:dyDescent="0.3">
      <c r="C28" t="s">
        <v>10</v>
      </c>
      <c r="D28" t="s">
        <v>38</v>
      </c>
      <c r="E28" t="s">
        <v>22</v>
      </c>
      <c r="F28" s="2">
        <v>2205</v>
      </c>
      <c r="G28" s="3">
        <v>141</v>
      </c>
      <c r="H28">
        <f>_xlfn.XLOOKUP(data[[#This Row],[Product]],products[Product],products[Cost per unit])</f>
        <v>9.77</v>
      </c>
      <c r="I28" s="29">
        <f>data[[#This Row],[Cost per Unit]]*data[[#This Row],[Units]]</f>
        <v>1377.57</v>
      </c>
      <c r="L28" t="s">
        <v>19</v>
      </c>
      <c r="M28" s="8">
        <v>7.64</v>
      </c>
    </row>
    <row r="29" spans="3:13" x14ac:dyDescent="0.3">
      <c r="C29" t="s">
        <v>8</v>
      </c>
      <c r="D29" t="s">
        <v>37</v>
      </c>
      <c r="E29" t="s">
        <v>19</v>
      </c>
      <c r="F29" s="2">
        <v>1771</v>
      </c>
      <c r="G29" s="3">
        <v>204</v>
      </c>
      <c r="H29">
        <f>_xlfn.XLOOKUP(data[[#This Row],[Product]],products[Product],products[Cost per unit])</f>
        <v>7.64</v>
      </c>
      <c r="I29" s="29">
        <f>data[[#This Row],[Cost per Unit]]*data[[#This Row],[Units]]</f>
        <v>1558.56</v>
      </c>
      <c r="L29" t="s">
        <v>20</v>
      </c>
      <c r="M29" s="8">
        <v>10.62</v>
      </c>
    </row>
    <row r="30" spans="3:13" x14ac:dyDescent="0.3">
      <c r="C30" t="s">
        <v>41</v>
      </c>
      <c r="D30" t="s">
        <v>35</v>
      </c>
      <c r="E30" t="s">
        <v>15</v>
      </c>
      <c r="F30" s="2">
        <v>2114</v>
      </c>
      <c r="G30" s="3">
        <v>186</v>
      </c>
      <c r="H30">
        <f>_xlfn.XLOOKUP(data[[#This Row],[Product]],products[Product],products[Cost per unit])</f>
        <v>11.73</v>
      </c>
      <c r="I30" s="29">
        <f>data[[#This Row],[Cost per Unit]]*data[[#This Row],[Units]]</f>
        <v>2181.7800000000002</v>
      </c>
      <c r="L30" t="s">
        <v>21</v>
      </c>
      <c r="M30" s="8">
        <v>9</v>
      </c>
    </row>
    <row r="31" spans="3:13" x14ac:dyDescent="0.3">
      <c r="C31" t="s">
        <v>41</v>
      </c>
      <c r="D31" t="s">
        <v>36</v>
      </c>
      <c r="E31" t="s">
        <v>13</v>
      </c>
      <c r="F31" s="2">
        <v>10311</v>
      </c>
      <c r="G31" s="3">
        <v>231</v>
      </c>
      <c r="H31">
        <f>_xlfn.XLOOKUP(data[[#This Row],[Product]],products[Product],products[Cost per unit])</f>
        <v>9.33</v>
      </c>
      <c r="I31" s="29">
        <f>data[[#This Row],[Cost per Unit]]*data[[#This Row],[Units]]</f>
        <v>2155.23</v>
      </c>
      <c r="L31" t="s">
        <v>22</v>
      </c>
      <c r="M31" s="8">
        <v>9.77</v>
      </c>
    </row>
    <row r="32" spans="3:13" x14ac:dyDescent="0.3">
      <c r="C32" t="s">
        <v>3</v>
      </c>
      <c r="D32" t="s">
        <v>39</v>
      </c>
      <c r="E32" t="s">
        <v>16</v>
      </c>
      <c r="F32" s="2">
        <v>21</v>
      </c>
      <c r="G32" s="3">
        <v>168</v>
      </c>
      <c r="H32">
        <f>_xlfn.XLOOKUP(data[[#This Row],[Product]],products[Product],products[Cost per unit])</f>
        <v>8.7899999999999991</v>
      </c>
      <c r="I32" s="29">
        <f>data[[#This Row],[Cost per Unit]]*data[[#This Row],[Units]]</f>
        <v>1476.7199999999998</v>
      </c>
      <c r="L32" t="s">
        <v>23</v>
      </c>
      <c r="M32" s="8">
        <v>6.49</v>
      </c>
    </row>
    <row r="33" spans="3:13" x14ac:dyDescent="0.3">
      <c r="C33" t="s">
        <v>10</v>
      </c>
      <c r="D33" t="s">
        <v>35</v>
      </c>
      <c r="E33" t="s">
        <v>20</v>
      </c>
      <c r="F33" s="2">
        <v>1974</v>
      </c>
      <c r="G33" s="3">
        <v>195</v>
      </c>
      <c r="H33">
        <f>_xlfn.XLOOKUP(data[[#This Row],[Product]],products[Product],products[Cost per unit])</f>
        <v>10.62</v>
      </c>
      <c r="I33" s="29">
        <f>data[[#This Row],[Cost per Unit]]*data[[#This Row],[Units]]</f>
        <v>2070.8999999999996</v>
      </c>
      <c r="L33" t="s">
        <v>24</v>
      </c>
      <c r="M33" s="8">
        <v>4.97</v>
      </c>
    </row>
    <row r="34" spans="3:13" x14ac:dyDescent="0.3">
      <c r="C34" t="s">
        <v>5</v>
      </c>
      <c r="D34" t="s">
        <v>36</v>
      </c>
      <c r="E34" t="s">
        <v>23</v>
      </c>
      <c r="F34" s="2">
        <v>6314</v>
      </c>
      <c r="G34" s="3">
        <v>15</v>
      </c>
      <c r="H34">
        <f>_xlfn.XLOOKUP(data[[#This Row],[Product]],products[Product],products[Cost per unit])</f>
        <v>6.49</v>
      </c>
      <c r="I34" s="29">
        <f>data[[#This Row],[Cost per Unit]]*data[[#This Row],[Units]]</f>
        <v>97.350000000000009</v>
      </c>
      <c r="L34" t="s">
        <v>25</v>
      </c>
      <c r="M34" s="8">
        <v>13.15</v>
      </c>
    </row>
    <row r="35" spans="3:13" x14ac:dyDescent="0.3">
      <c r="C35" t="s">
        <v>10</v>
      </c>
      <c r="D35" t="s">
        <v>37</v>
      </c>
      <c r="E35" t="s">
        <v>23</v>
      </c>
      <c r="F35" s="2">
        <v>4683</v>
      </c>
      <c r="G35" s="3">
        <v>30</v>
      </c>
      <c r="H35">
        <f>_xlfn.XLOOKUP(data[[#This Row],[Product]],products[Product],products[Cost per unit])</f>
        <v>6.49</v>
      </c>
      <c r="I35" s="29">
        <f>data[[#This Row],[Cost per Unit]]*data[[#This Row],[Units]]</f>
        <v>194.70000000000002</v>
      </c>
      <c r="L35" t="s">
        <v>26</v>
      </c>
      <c r="M35" s="8">
        <v>5.6</v>
      </c>
    </row>
    <row r="36" spans="3:13" x14ac:dyDescent="0.3">
      <c r="C36" t="s">
        <v>41</v>
      </c>
      <c r="D36" t="s">
        <v>37</v>
      </c>
      <c r="E36" t="s">
        <v>24</v>
      </c>
      <c r="F36" s="2">
        <v>6398</v>
      </c>
      <c r="G36" s="3">
        <v>102</v>
      </c>
      <c r="H36">
        <f>_xlfn.XLOOKUP(data[[#This Row],[Product]],products[Product],products[Cost per unit])</f>
        <v>4.97</v>
      </c>
      <c r="I36" s="29">
        <f>data[[#This Row],[Cost per Unit]]*data[[#This Row],[Units]]</f>
        <v>506.94</v>
      </c>
      <c r="L36" t="s">
        <v>27</v>
      </c>
      <c r="M36" s="8">
        <v>16.73</v>
      </c>
    </row>
    <row r="37" spans="3:13" x14ac:dyDescent="0.3">
      <c r="C37" t="s">
        <v>2</v>
      </c>
      <c r="D37" t="s">
        <v>35</v>
      </c>
      <c r="E37" t="s">
        <v>19</v>
      </c>
      <c r="F37" s="2">
        <v>553</v>
      </c>
      <c r="G37" s="3">
        <v>15</v>
      </c>
      <c r="H37">
        <f>_xlfn.XLOOKUP(data[[#This Row],[Product]],products[Product],products[Cost per unit])</f>
        <v>7.64</v>
      </c>
      <c r="I37" s="29">
        <f>data[[#This Row],[Cost per Unit]]*data[[#This Row],[Units]]</f>
        <v>114.6</v>
      </c>
      <c r="L37" t="s">
        <v>28</v>
      </c>
      <c r="M37" s="8">
        <v>10.38</v>
      </c>
    </row>
    <row r="38" spans="3:13" x14ac:dyDescent="0.3">
      <c r="C38" t="s">
        <v>8</v>
      </c>
      <c r="D38" t="s">
        <v>39</v>
      </c>
      <c r="E38" t="s">
        <v>30</v>
      </c>
      <c r="F38" s="2">
        <v>7021</v>
      </c>
      <c r="G38" s="3">
        <v>183</v>
      </c>
      <c r="H38">
        <f>_xlfn.XLOOKUP(data[[#This Row],[Product]],products[Product],products[Cost per unit])</f>
        <v>14.49</v>
      </c>
      <c r="I38" s="29">
        <f>data[[#This Row],[Cost per Unit]]*data[[#This Row],[Units]]</f>
        <v>2651.67</v>
      </c>
      <c r="L38" t="s">
        <v>29</v>
      </c>
      <c r="M38" s="8">
        <v>7.16</v>
      </c>
    </row>
    <row r="39" spans="3:13" x14ac:dyDescent="0.3">
      <c r="C39" t="s">
        <v>40</v>
      </c>
      <c r="D39" t="s">
        <v>39</v>
      </c>
      <c r="E39" t="s">
        <v>22</v>
      </c>
      <c r="F39" s="2">
        <v>5817</v>
      </c>
      <c r="G39" s="3">
        <v>12</v>
      </c>
      <c r="H39">
        <f>_xlfn.XLOOKUP(data[[#This Row],[Product]],products[Product],products[Cost per unit])</f>
        <v>9.77</v>
      </c>
      <c r="I39" s="29">
        <f>data[[#This Row],[Cost per Unit]]*data[[#This Row],[Units]]</f>
        <v>117.24</v>
      </c>
      <c r="L39" t="s">
        <v>30</v>
      </c>
      <c r="M39" s="8">
        <v>14.49</v>
      </c>
    </row>
    <row r="40" spans="3:13" x14ac:dyDescent="0.3">
      <c r="C40" t="s">
        <v>41</v>
      </c>
      <c r="D40" t="s">
        <v>39</v>
      </c>
      <c r="E40" t="s">
        <v>14</v>
      </c>
      <c r="F40" s="2">
        <v>3976</v>
      </c>
      <c r="G40" s="3">
        <v>72</v>
      </c>
      <c r="H40">
        <f>_xlfn.XLOOKUP(data[[#This Row],[Product]],products[Product],products[Cost per unit])</f>
        <v>11.7</v>
      </c>
      <c r="I40" s="29">
        <f>data[[#This Row],[Cost per Unit]]*data[[#This Row],[Units]]</f>
        <v>842.4</v>
      </c>
      <c r="L40" t="s">
        <v>31</v>
      </c>
      <c r="M40" s="8">
        <v>5.79</v>
      </c>
    </row>
    <row r="41" spans="3:13" x14ac:dyDescent="0.3">
      <c r="C41" t="s">
        <v>6</v>
      </c>
      <c r="D41" t="s">
        <v>38</v>
      </c>
      <c r="E41" t="s">
        <v>27</v>
      </c>
      <c r="F41" s="2">
        <v>1134</v>
      </c>
      <c r="G41" s="3">
        <v>282</v>
      </c>
      <c r="H41">
        <f>_xlfn.XLOOKUP(data[[#This Row],[Product]],products[Product],products[Cost per unit])</f>
        <v>16.73</v>
      </c>
      <c r="I41" s="29">
        <f>data[[#This Row],[Cost per Unit]]*data[[#This Row],[Units]]</f>
        <v>4717.8599999999997</v>
      </c>
      <c r="L41" t="s">
        <v>32</v>
      </c>
      <c r="M41" s="8">
        <v>8.65</v>
      </c>
    </row>
    <row r="42" spans="3:13" x14ac:dyDescent="0.3">
      <c r="C42" t="s">
        <v>2</v>
      </c>
      <c r="D42" t="s">
        <v>39</v>
      </c>
      <c r="E42" t="s">
        <v>28</v>
      </c>
      <c r="F42" s="2">
        <v>6027</v>
      </c>
      <c r="G42" s="3">
        <v>144</v>
      </c>
      <c r="H42">
        <f>_xlfn.XLOOKUP(data[[#This Row],[Product]],products[Product],products[Cost per unit])</f>
        <v>10.38</v>
      </c>
      <c r="I42" s="29">
        <f>data[[#This Row],[Cost per Unit]]*data[[#This Row],[Units]]</f>
        <v>1494.72</v>
      </c>
      <c r="L42" t="s">
        <v>33</v>
      </c>
      <c r="M42" s="8">
        <v>12.37</v>
      </c>
    </row>
    <row r="43" spans="3:13" x14ac:dyDescent="0.3">
      <c r="C43" t="s">
        <v>6</v>
      </c>
      <c r="D43" t="s">
        <v>37</v>
      </c>
      <c r="E43" t="s">
        <v>16</v>
      </c>
      <c r="F43" s="2">
        <v>1904</v>
      </c>
      <c r="G43" s="3">
        <v>405</v>
      </c>
      <c r="H43">
        <f>_xlfn.XLOOKUP(data[[#This Row],[Product]],products[Product],products[Cost per unit])</f>
        <v>8.7899999999999991</v>
      </c>
      <c r="I43" s="29">
        <f>data[[#This Row],[Cost per Unit]]*data[[#This Row],[Units]]</f>
        <v>3559.95</v>
      </c>
    </row>
    <row r="44" spans="3:13" x14ac:dyDescent="0.3">
      <c r="C44" t="s">
        <v>7</v>
      </c>
      <c r="D44" t="s">
        <v>34</v>
      </c>
      <c r="E44" t="s">
        <v>32</v>
      </c>
      <c r="F44" s="2">
        <v>3262</v>
      </c>
      <c r="G44" s="3">
        <v>75</v>
      </c>
      <c r="H44">
        <f>_xlfn.XLOOKUP(data[[#This Row],[Product]],products[Product],products[Cost per unit])</f>
        <v>8.65</v>
      </c>
      <c r="I44" s="29">
        <f>data[[#This Row],[Cost per Unit]]*data[[#This Row],[Units]]</f>
        <v>648.75</v>
      </c>
    </row>
    <row r="45" spans="3:13" x14ac:dyDescent="0.3">
      <c r="C45" t="s">
        <v>40</v>
      </c>
      <c r="D45" t="s">
        <v>34</v>
      </c>
      <c r="E45" t="s">
        <v>27</v>
      </c>
      <c r="F45" s="2">
        <v>2289</v>
      </c>
      <c r="G45" s="3">
        <v>135</v>
      </c>
      <c r="H45">
        <f>_xlfn.XLOOKUP(data[[#This Row],[Product]],products[Product],products[Cost per unit])</f>
        <v>16.73</v>
      </c>
      <c r="I45" s="29">
        <f>data[[#This Row],[Cost per Unit]]*data[[#This Row],[Units]]</f>
        <v>2258.5500000000002</v>
      </c>
    </row>
    <row r="46" spans="3:13" x14ac:dyDescent="0.3">
      <c r="C46" t="s">
        <v>5</v>
      </c>
      <c r="D46" t="s">
        <v>34</v>
      </c>
      <c r="E46" t="s">
        <v>27</v>
      </c>
      <c r="F46" s="2">
        <v>6986</v>
      </c>
      <c r="G46" s="3">
        <v>21</v>
      </c>
      <c r="H46">
        <f>_xlfn.XLOOKUP(data[[#This Row],[Product]],products[Product],products[Cost per unit])</f>
        <v>16.73</v>
      </c>
      <c r="I46" s="29">
        <f>data[[#This Row],[Cost per Unit]]*data[[#This Row],[Units]]</f>
        <v>351.33</v>
      </c>
    </row>
    <row r="47" spans="3:13" x14ac:dyDescent="0.3">
      <c r="C47" t="s">
        <v>2</v>
      </c>
      <c r="D47" t="s">
        <v>38</v>
      </c>
      <c r="E47" t="s">
        <v>23</v>
      </c>
      <c r="F47" s="2">
        <v>4417</v>
      </c>
      <c r="G47" s="3">
        <v>153</v>
      </c>
      <c r="H47">
        <f>_xlfn.XLOOKUP(data[[#This Row],[Product]],products[Product],products[Cost per unit])</f>
        <v>6.49</v>
      </c>
      <c r="I47" s="29">
        <f>data[[#This Row],[Cost per Unit]]*data[[#This Row],[Units]]</f>
        <v>992.97</v>
      </c>
    </row>
    <row r="48" spans="3:13" x14ac:dyDescent="0.3">
      <c r="C48" t="s">
        <v>6</v>
      </c>
      <c r="D48" t="s">
        <v>34</v>
      </c>
      <c r="E48" t="s">
        <v>15</v>
      </c>
      <c r="F48" s="2">
        <v>1442</v>
      </c>
      <c r="G48" s="3">
        <v>15</v>
      </c>
      <c r="H48">
        <f>_xlfn.XLOOKUP(data[[#This Row],[Product]],products[Product],products[Cost per unit])</f>
        <v>11.73</v>
      </c>
      <c r="I48" s="29">
        <f>data[[#This Row],[Cost per Unit]]*data[[#This Row],[Units]]</f>
        <v>175.95000000000002</v>
      </c>
    </row>
    <row r="49" spans="3:9" x14ac:dyDescent="0.3">
      <c r="C49" t="s">
        <v>3</v>
      </c>
      <c r="D49" t="s">
        <v>35</v>
      </c>
      <c r="E49" t="s">
        <v>14</v>
      </c>
      <c r="F49" s="2">
        <v>2415</v>
      </c>
      <c r="G49" s="3">
        <v>255</v>
      </c>
      <c r="H49">
        <f>_xlfn.XLOOKUP(data[[#This Row],[Product]],products[Product],products[Cost per unit])</f>
        <v>11.7</v>
      </c>
      <c r="I49" s="29">
        <f>data[[#This Row],[Cost per Unit]]*data[[#This Row],[Units]]</f>
        <v>2983.5</v>
      </c>
    </row>
    <row r="50" spans="3:9" x14ac:dyDescent="0.3">
      <c r="C50" t="s">
        <v>2</v>
      </c>
      <c r="D50" t="s">
        <v>37</v>
      </c>
      <c r="E50" t="s">
        <v>19</v>
      </c>
      <c r="F50" s="2">
        <v>238</v>
      </c>
      <c r="G50" s="3">
        <v>18</v>
      </c>
      <c r="H50">
        <f>_xlfn.XLOOKUP(data[[#This Row],[Product]],products[Product],products[Cost per unit])</f>
        <v>7.64</v>
      </c>
      <c r="I50" s="29">
        <f>data[[#This Row],[Cost per Unit]]*data[[#This Row],[Units]]</f>
        <v>137.51999999999998</v>
      </c>
    </row>
    <row r="51" spans="3:9" x14ac:dyDescent="0.3">
      <c r="C51" t="s">
        <v>6</v>
      </c>
      <c r="D51" t="s">
        <v>37</v>
      </c>
      <c r="E51" t="s">
        <v>23</v>
      </c>
      <c r="F51" s="2">
        <v>4949</v>
      </c>
      <c r="G51" s="3">
        <v>189</v>
      </c>
      <c r="H51">
        <f>_xlfn.XLOOKUP(data[[#This Row],[Product]],products[Product],products[Cost per unit])</f>
        <v>6.49</v>
      </c>
      <c r="I51" s="29">
        <f>data[[#This Row],[Cost per Unit]]*data[[#This Row],[Units]]</f>
        <v>1226.6100000000001</v>
      </c>
    </row>
    <row r="52" spans="3:9" x14ac:dyDescent="0.3">
      <c r="C52" t="s">
        <v>5</v>
      </c>
      <c r="D52" t="s">
        <v>38</v>
      </c>
      <c r="E52" t="s">
        <v>32</v>
      </c>
      <c r="F52" s="2">
        <v>5075</v>
      </c>
      <c r="G52" s="3">
        <v>21</v>
      </c>
      <c r="H52">
        <f>_xlfn.XLOOKUP(data[[#This Row],[Product]],products[Product],products[Cost per unit])</f>
        <v>8.65</v>
      </c>
      <c r="I52" s="29">
        <f>data[[#This Row],[Cost per Unit]]*data[[#This Row],[Units]]</f>
        <v>181.65</v>
      </c>
    </row>
    <row r="53" spans="3:9" x14ac:dyDescent="0.3">
      <c r="C53" t="s">
        <v>3</v>
      </c>
      <c r="D53" t="s">
        <v>36</v>
      </c>
      <c r="E53" t="s">
        <v>16</v>
      </c>
      <c r="F53" s="2">
        <v>9198</v>
      </c>
      <c r="G53" s="3">
        <v>36</v>
      </c>
      <c r="H53">
        <f>_xlfn.XLOOKUP(data[[#This Row],[Product]],products[Product],products[Cost per unit])</f>
        <v>8.7899999999999991</v>
      </c>
      <c r="I53" s="29">
        <f>data[[#This Row],[Cost per Unit]]*data[[#This Row],[Units]]</f>
        <v>316.43999999999994</v>
      </c>
    </row>
    <row r="54" spans="3:9" x14ac:dyDescent="0.3">
      <c r="C54" t="s">
        <v>6</v>
      </c>
      <c r="D54" t="s">
        <v>34</v>
      </c>
      <c r="E54" t="s">
        <v>29</v>
      </c>
      <c r="F54" s="2">
        <v>3339</v>
      </c>
      <c r="G54" s="3">
        <v>75</v>
      </c>
      <c r="H54">
        <f>_xlfn.XLOOKUP(data[[#This Row],[Product]],products[Product],products[Cost per unit])</f>
        <v>7.16</v>
      </c>
      <c r="I54" s="29">
        <f>data[[#This Row],[Cost per Unit]]*data[[#This Row],[Units]]</f>
        <v>537</v>
      </c>
    </row>
    <row r="55" spans="3:9" x14ac:dyDescent="0.3">
      <c r="C55" t="s">
        <v>40</v>
      </c>
      <c r="D55" t="s">
        <v>34</v>
      </c>
      <c r="E55" t="s">
        <v>17</v>
      </c>
      <c r="F55" s="2">
        <v>5019</v>
      </c>
      <c r="G55" s="3">
        <v>156</v>
      </c>
      <c r="H55">
        <f>_xlfn.XLOOKUP(data[[#This Row],[Product]],products[Product],products[Cost per unit])</f>
        <v>3.11</v>
      </c>
      <c r="I55" s="29">
        <f>data[[#This Row],[Cost per Unit]]*data[[#This Row],[Units]]</f>
        <v>485.15999999999997</v>
      </c>
    </row>
    <row r="56" spans="3:9" x14ac:dyDescent="0.3">
      <c r="C56" t="s">
        <v>5</v>
      </c>
      <c r="D56" t="s">
        <v>36</v>
      </c>
      <c r="E56" t="s">
        <v>16</v>
      </c>
      <c r="F56" s="2">
        <v>16184</v>
      </c>
      <c r="G56" s="3">
        <v>39</v>
      </c>
      <c r="H56">
        <f>_xlfn.XLOOKUP(data[[#This Row],[Product]],products[Product],products[Cost per unit])</f>
        <v>8.7899999999999991</v>
      </c>
      <c r="I56" s="29">
        <f>data[[#This Row],[Cost per Unit]]*data[[#This Row],[Units]]</f>
        <v>342.80999999999995</v>
      </c>
    </row>
    <row r="57" spans="3:9" x14ac:dyDescent="0.3">
      <c r="C57" t="s">
        <v>6</v>
      </c>
      <c r="D57" t="s">
        <v>36</v>
      </c>
      <c r="E57" t="s">
        <v>21</v>
      </c>
      <c r="F57" s="2">
        <v>497</v>
      </c>
      <c r="G57" s="3">
        <v>63</v>
      </c>
      <c r="H57">
        <f>_xlfn.XLOOKUP(data[[#This Row],[Product]],products[Product],products[Cost per unit])</f>
        <v>9</v>
      </c>
      <c r="I57" s="29">
        <f>data[[#This Row],[Cost per Unit]]*data[[#This Row],[Units]]</f>
        <v>567</v>
      </c>
    </row>
    <row r="58" spans="3:9" x14ac:dyDescent="0.3">
      <c r="C58" t="s">
        <v>2</v>
      </c>
      <c r="D58" t="s">
        <v>36</v>
      </c>
      <c r="E58" t="s">
        <v>29</v>
      </c>
      <c r="F58" s="2">
        <v>8211</v>
      </c>
      <c r="G58" s="3">
        <v>75</v>
      </c>
      <c r="H58">
        <f>_xlfn.XLOOKUP(data[[#This Row],[Product]],products[Product],products[Cost per unit])</f>
        <v>7.16</v>
      </c>
      <c r="I58" s="29">
        <f>data[[#This Row],[Cost per Unit]]*data[[#This Row],[Units]]</f>
        <v>537</v>
      </c>
    </row>
    <row r="59" spans="3:9" x14ac:dyDescent="0.3">
      <c r="C59" t="s">
        <v>2</v>
      </c>
      <c r="D59" t="s">
        <v>38</v>
      </c>
      <c r="E59" t="s">
        <v>28</v>
      </c>
      <c r="F59" s="2">
        <v>6580</v>
      </c>
      <c r="G59" s="3">
        <v>183</v>
      </c>
      <c r="H59">
        <f>_xlfn.XLOOKUP(data[[#This Row],[Product]],products[Product],products[Cost per unit])</f>
        <v>10.38</v>
      </c>
      <c r="I59" s="29">
        <f>data[[#This Row],[Cost per Unit]]*data[[#This Row],[Units]]</f>
        <v>1899.5400000000002</v>
      </c>
    </row>
    <row r="60" spans="3:9" x14ac:dyDescent="0.3">
      <c r="C60" t="s">
        <v>41</v>
      </c>
      <c r="D60" t="s">
        <v>35</v>
      </c>
      <c r="E60" t="s">
        <v>13</v>
      </c>
      <c r="F60" s="2">
        <v>4760</v>
      </c>
      <c r="G60" s="3">
        <v>69</v>
      </c>
      <c r="H60">
        <f>_xlfn.XLOOKUP(data[[#This Row],[Product]],products[Product],products[Cost per unit])</f>
        <v>9.33</v>
      </c>
      <c r="I60" s="29">
        <f>data[[#This Row],[Cost per Unit]]*data[[#This Row],[Units]]</f>
        <v>643.77</v>
      </c>
    </row>
    <row r="61" spans="3:9" x14ac:dyDescent="0.3">
      <c r="C61" t="s">
        <v>40</v>
      </c>
      <c r="D61" t="s">
        <v>36</v>
      </c>
      <c r="E61" t="s">
        <v>25</v>
      </c>
      <c r="F61" s="2">
        <v>5439</v>
      </c>
      <c r="G61" s="3">
        <v>30</v>
      </c>
      <c r="H61">
        <f>_xlfn.XLOOKUP(data[[#This Row],[Product]],products[Product],products[Cost per unit])</f>
        <v>13.15</v>
      </c>
      <c r="I61" s="29">
        <f>data[[#This Row],[Cost per Unit]]*data[[#This Row],[Units]]</f>
        <v>394.5</v>
      </c>
    </row>
    <row r="62" spans="3:9" x14ac:dyDescent="0.3">
      <c r="C62" t="s">
        <v>41</v>
      </c>
      <c r="D62" t="s">
        <v>34</v>
      </c>
      <c r="E62" t="s">
        <v>17</v>
      </c>
      <c r="F62" s="2">
        <v>1463</v>
      </c>
      <c r="G62" s="3">
        <v>39</v>
      </c>
      <c r="H62">
        <f>_xlfn.XLOOKUP(data[[#This Row],[Product]],products[Product],products[Cost per unit])</f>
        <v>3.11</v>
      </c>
      <c r="I62" s="29">
        <f>data[[#This Row],[Cost per Unit]]*data[[#This Row],[Units]]</f>
        <v>121.28999999999999</v>
      </c>
    </row>
    <row r="63" spans="3:9" x14ac:dyDescent="0.3">
      <c r="C63" t="s">
        <v>3</v>
      </c>
      <c r="D63" t="s">
        <v>34</v>
      </c>
      <c r="E63" t="s">
        <v>32</v>
      </c>
      <c r="F63" s="2">
        <v>7777</v>
      </c>
      <c r="G63" s="3">
        <v>504</v>
      </c>
      <c r="H63">
        <f>_xlfn.XLOOKUP(data[[#This Row],[Product]],products[Product],products[Cost per unit])</f>
        <v>8.65</v>
      </c>
      <c r="I63" s="29">
        <f>data[[#This Row],[Cost per Unit]]*data[[#This Row],[Units]]</f>
        <v>4359.6000000000004</v>
      </c>
    </row>
    <row r="64" spans="3:9" x14ac:dyDescent="0.3">
      <c r="C64" t="s">
        <v>9</v>
      </c>
      <c r="D64" t="s">
        <v>37</v>
      </c>
      <c r="E64" t="s">
        <v>29</v>
      </c>
      <c r="F64" s="2">
        <v>1085</v>
      </c>
      <c r="G64" s="3">
        <v>273</v>
      </c>
      <c r="H64">
        <f>_xlfn.XLOOKUP(data[[#This Row],[Product]],products[Product],products[Cost per unit])</f>
        <v>7.16</v>
      </c>
      <c r="I64" s="29">
        <f>data[[#This Row],[Cost per Unit]]*data[[#This Row],[Units]]</f>
        <v>1954.68</v>
      </c>
    </row>
    <row r="65" spans="3:9" x14ac:dyDescent="0.3">
      <c r="C65" t="s">
        <v>5</v>
      </c>
      <c r="D65" t="s">
        <v>37</v>
      </c>
      <c r="E65" t="s">
        <v>31</v>
      </c>
      <c r="F65" s="2">
        <v>182</v>
      </c>
      <c r="G65" s="3">
        <v>48</v>
      </c>
      <c r="H65">
        <f>_xlfn.XLOOKUP(data[[#This Row],[Product]],products[Product],products[Cost per unit])</f>
        <v>5.79</v>
      </c>
      <c r="I65" s="29">
        <f>data[[#This Row],[Cost per Unit]]*data[[#This Row],[Units]]</f>
        <v>277.92</v>
      </c>
    </row>
    <row r="66" spans="3:9" x14ac:dyDescent="0.3">
      <c r="C66" t="s">
        <v>6</v>
      </c>
      <c r="D66" t="s">
        <v>34</v>
      </c>
      <c r="E66" t="s">
        <v>27</v>
      </c>
      <c r="F66" s="2">
        <v>4242</v>
      </c>
      <c r="G66" s="3">
        <v>207</v>
      </c>
      <c r="H66">
        <f>_xlfn.XLOOKUP(data[[#This Row],[Product]],products[Product],products[Cost per unit])</f>
        <v>16.73</v>
      </c>
      <c r="I66" s="29">
        <f>data[[#This Row],[Cost per Unit]]*data[[#This Row],[Units]]</f>
        <v>3463.11</v>
      </c>
    </row>
    <row r="67" spans="3:9" x14ac:dyDescent="0.3">
      <c r="C67" t="s">
        <v>6</v>
      </c>
      <c r="D67" t="s">
        <v>36</v>
      </c>
      <c r="E67" t="s">
        <v>32</v>
      </c>
      <c r="F67" s="2">
        <v>6118</v>
      </c>
      <c r="G67" s="3">
        <v>9</v>
      </c>
      <c r="H67">
        <f>_xlfn.XLOOKUP(data[[#This Row],[Product]],products[Product],products[Cost per unit])</f>
        <v>8.65</v>
      </c>
      <c r="I67" s="29">
        <f>data[[#This Row],[Cost per Unit]]*data[[#This Row],[Units]]</f>
        <v>77.850000000000009</v>
      </c>
    </row>
    <row r="68" spans="3:9" x14ac:dyDescent="0.3">
      <c r="C68" t="s">
        <v>10</v>
      </c>
      <c r="D68" t="s">
        <v>36</v>
      </c>
      <c r="E68" t="s">
        <v>23</v>
      </c>
      <c r="F68" s="2">
        <v>2317</v>
      </c>
      <c r="G68" s="3">
        <v>261</v>
      </c>
      <c r="H68">
        <f>_xlfn.XLOOKUP(data[[#This Row],[Product]],products[Product],products[Cost per unit])</f>
        <v>6.49</v>
      </c>
      <c r="I68" s="29">
        <f>data[[#This Row],[Cost per Unit]]*data[[#This Row],[Units]]</f>
        <v>1693.89</v>
      </c>
    </row>
    <row r="69" spans="3:9" x14ac:dyDescent="0.3">
      <c r="C69" t="s">
        <v>6</v>
      </c>
      <c r="D69" t="s">
        <v>38</v>
      </c>
      <c r="E69" t="s">
        <v>16</v>
      </c>
      <c r="F69" s="2">
        <v>938</v>
      </c>
      <c r="G69" s="3">
        <v>6</v>
      </c>
      <c r="H69">
        <f>_xlfn.XLOOKUP(data[[#This Row],[Product]],products[Product],products[Cost per unit])</f>
        <v>8.7899999999999991</v>
      </c>
      <c r="I69" s="29">
        <f>data[[#This Row],[Cost per Unit]]*data[[#This Row],[Units]]</f>
        <v>52.739999999999995</v>
      </c>
    </row>
    <row r="70" spans="3:9" x14ac:dyDescent="0.3">
      <c r="C70" t="s">
        <v>8</v>
      </c>
      <c r="D70" t="s">
        <v>37</v>
      </c>
      <c r="E70" t="s">
        <v>15</v>
      </c>
      <c r="F70" s="2">
        <v>9709</v>
      </c>
      <c r="G70" s="3">
        <v>30</v>
      </c>
      <c r="H70">
        <f>_xlfn.XLOOKUP(data[[#This Row],[Product]],products[Product],products[Cost per unit])</f>
        <v>11.73</v>
      </c>
      <c r="I70" s="29">
        <f>data[[#This Row],[Cost per Unit]]*data[[#This Row],[Units]]</f>
        <v>351.90000000000003</v>
      </c>
    </row>
    <row r="71" spans="3:9" x14ac:dyDescent="0.3">
      <c r="C71" t="s">
        <v>7</v>
      </c>
      <c r="D71" t="s">
        <v>34</v>
      </c>
      <c r="E71" t="s">
        <v>20</v>
      </c>
      <c r="F71" s="2">
        <v>2205</v>
      </c>
      <c r="G71" s="3">
        <v>138</v>
      </c>
      <c r="H71">
        <f>_xlfn.XLOOKUP(data[[#This Row],[Product]],products[Product],products[Cost per unit])</f>
        <v>10.62</v>
      </c>
      <c r="I71" s="29">
        <f>data[[#This Row],[Cost per Unit]]*data[[#This Row],[Units]]</f>
        <v>1465.56</v>
      </c>
    </row>
    <row r="72" spans="3:9" x14ac:dyDescent="0.3">
      <c r="C72" t="s">
        <v>7</v>
      </c>
      <c r="D72" t="s">
        <v>37</v>
      </c>
      <c r="E72" t="s">
        <v>17</v>
      </c>
      <c r="F72" s="2">
        <v>4487</v>
      </c>
      <c r="G72" s="3">
        <v>111</v>
      </c>
      <c r="H72">
        <f>_xlfn.XLOOKUP(data[[#This Row],[Product]],products[Product],products[Cost per unit])</f>
        <v>3.11</v>
      </c>
      <c r="I72" s="29">
        <f>data[[#This Row],[Cost per Unit]]*data[[#This Row],[Units]]</f>
        <v>345.21</v>
      </c>
    </row>
    <row r="73" spans="3:9" x14ac:dyDescent="0.3">
      <c r="C73" t="s">
        <v>5</v>
      </c>
      <c r="D73" t="s">
        <v>35</v>
      </c>
      <c r="E73" t="s">
        <v>18</v>
      </c>
      <c r="F73" s="2">
        <v>2415</v>
      </c>
      <c r="G73" s="3">
        <v>15</v>
      </c>
      <c r="H73">
        <f>_xlfn.XLOOKUP(data[[#This Row],[Product]],products[Product],products[Cost per unit])</f>
        <v>6.47</v>
      </c>
      <c r="I73" s="29">
        <f>data[[#This Row],[Cost per Unit]]*data[[#This Row],[Units]]</f>
        <v>97.05</v>
      </c>
    </row>
    <row r="74" spans="3:9" x14ac:dyDescent="0.3">
      <c r="C74" t="s">
        <v>40</v>
      </c>
      <c r="D74" t="s">
        <v>34</v>
      </c>
      <c r="E74" t="s">
        <v>19</v>
      </c>
      <c r="F74" s="2">
        <v>4018</v>
      </c>
      <c r="G74" s="3">
        <v>162</v>
      </c>
      <c r="H74">
        <f>_xlfn.XLOOKUP(data[[#This Row],[Product]],products[Product],products[Cost per unit])</f>
        <v>7.64</v>
      </c>
      <c r="I74" s="29">
        <f>data[[#This Row],[Cost per Unit]]*data[[#This Row],[Units]]</f>
        <v>1237.6799999999998</v>
      </c>
    </row>
    <row r="75" spans="3:9" x14ac:dyDescent="0.3">
      <c r="C75" t="s">
        <v>5</v>
      </c>
      <c r="D75" t="s">
        <v>34</v>
      </c>
      <c r="E75" t="s">
        <v>19</v>
      </c>
      <c r="F75" s="2">
        <v>861</v>
      </c>
      <c r="G75" s="3">
        <v>195</v>
      </c>
      <c r="H75">
        <f>_xlfn.XLOOKUP(data[[#This Row],[Product]],products[Product],products[Cost per unit])</f>
        <v>7.64</v>
      </c>
      <c r="I75" s="29">
        <f>data[[#This Row],[Cost per Unit]]*data[[#This Row],[Units]]</f>
        <v>1489.8</v>
      </c>
    </row>
    <row r="76" spans="3:9" x14ac:dyDescent="0.3">
      <c r="C76" t="s">
        <v>10</v>
      </c>
      <c r="D76" t="s">
        <v>38</v>
      </c>
      <c r="E76" t="s">
        <v>14</v>
      </c>
      <c r="F76" s="2">
        <v>5586</v>
      </c>
      <c r="G76" s="3">
        <v>525</v>
      </c>
      <c r="H76">
        <f>_xlfn.XLOOKUP(data[[#This Row],[Product]],products[Product],products[Cost per unit])</f>
        <v>11.7</v>
      </c>
      <c r="I76" s="29">
        <f>data[[#This Row],[Cost per Unit]]*data[[#This Row],[Units]]</f>
        <v>6142.5</v>
      </c>
    </row>
    <row r="77" spans="3:9" x14ac:dyDescent="0.3">
      <c r="C77" t="s">
        <v>7</v>
      </c>
      <c r="D77" t="s">
        <v>34</v>
      </c>
      <c r="E77" t="s">
        <v>33</v>
      </c>
      <c r="F77" s="2">
        <v>2226</v>
      </c>
      <c r="G77" s="3">
        <v>48</v>
      </c>
      <c r="H77">
        <f>_xlfn.XLOOKUP(data[[#This Row],[Product]],products[Product],products[Cost per unit])</f>
        <v>12.37</v>
      </c>
      <c r="I77" s="29">
        <f>data[[#This Row],[Cost per Unit]]*data[[#This Row],[Units]]</f>
        <v>593.76</v>
      </c>
    </row>
    <row r="78" spans="3:9" x14ac:dyDescent="0.3">
      <c r="C78" t="s">
        <v>9</v>
      </c>
      <c r="D78" t="s">
        <v>34</v>
      </c>
      <c r="E78" t="s">
        <v>28</v>
      </c>
      <c r="F78" s="2">
        <v>14329</v>
      </c>
      <c r="G78" s="3">
        <v>150</v>
      </c>
      <c r="H78">
        <f>_xlfn.XLOOKUP(data[[#This Row],[Product]],products[Product],products[Cost per unit])</f>
        <v>10.38</v>
      </c>
      <c r="I78" s="29">
        <f>data[[#This Row],[Cost per Unit]]*data[[#This Row],[Units]]</f>
        <v>1557.0000000000002</v>
      </c>
    </row>
    <row r="79" spans="3:9" x14ac:dyDescent="0.3">
      <c r="C79" t="s">
        <v>9</v>
      </c>
      <c r="D79" t="s">
        <v>34</v>
      </c>
      <c r="E79" t="s">
        <v>20</v>
      </c>
      <c r="F79" s="2">
        <v>8463</v>
      </c>
      <c r="G79" s="3">
        <v>492</v>
      </c>
      <c r="H79">
        <f>_xlfn.XLOOKUP(data[[#This Row],[Product]],products[Product],products[Cost per unit])</f>
        <v>10.62</v>
      </c>
      <c r="I79" s="29">
        <f>data[[#This Row],[Cost per Unit]]*data[[#This Row],[Units]]</f>
        <v>5225.04</v>
      </c>
    </row>
    <row r="80" spans="3:9" x14ac:dyDescent="0.3">
      <c r="C80" t="s">
        <v>5</v>
      </c>
      <c r="D80" t="s">
        <v>34</v>
      </c>
      <c r="E80" t="s">
        <v>29</v>
      </c>
      <c r="F80" s="2">
        <v>2891</v>
      </c>
      <c r="G80" s="3">
        <v>102</v>
      </c>
      <c r="H80">
        <f>_xlfn.XLOOKUP(data[[#This Row],[Product]],products[Product],products[Cost per unit])</f>
        <v>7.16</v>
      </c>
      <c r="I80" s="29">
        <f>data[[#This Row],[Cost per Unit]]*data[[#This Row],[Units]]</f>
        <v>730.32</v>
      </c>
    </row>
    <row r="81" spans="3:9" x14ac:dyDescent="0.3">
      <c r="C81" t="s">
        <v>3</v>
      </c>
      <c r="D81" t="s">
        <v>36</v>
      </c>
      <c r="E81" t="s">
        <v>23</v>
      </c>
      <c r="F81" s="2">
        <v>3773</v>
      </c>
      <c r="G81" s="3">
        <v>165</v>
      </c>
      <c r="H81">
        <f>_xlfn.XLOOKUP(data[[#This Row],[Product]],products[Product],products[Cost per unit])</f>
        <v>6.49</v>
      </c>
      <c r="I81" s="29">
        <f>data[[#This Row],[Cost per Unit]]*data[[#This Row],[Units]]</f>
        <v>1070.8500000000001</v>
      </c>
    </row>
    <row r="82" spans="3:9" x14ac:dyDescent="0.3">
      <c r="C82" t="s">
        <v>41</v>
      </c>
      <c r="D82" t="s">
        <v>36</v>
      </c>
      <c r="E82" t="s">
        <v>28</v>
      </c>
      <c r="F82" s="2">
        <v>854</v>
      </c>
      <c r="G82" s="3">
        <v>309</v>
      </c>
      <c r="H82">
        <f>_xlfn.XLOOKUP(data[[#This Row],[Product]],products[Product],products[Cost per unit])</f>
        <v>10.38</v>
      </c>
      <c r="I82" s="29">
        <f>data[[#This Row],[Cost per Unit]]*data[[#This Row],[Units]]</f>
        <v>3207.42</v>
      </c>
    </row>
    <row r="83" spans="3:9" x14ac:dyDescent="0.3">
      <c r="C83" t="s">
        <v>6</v>
      </c>
      <c r="D83" t="s">
        <v>36</v>
      </c>
      <c r="E83" t="s">
        <v>17</v>
      </c>
      <c r="F83" s="2">
        <v>4970</v>
      </c>
      <c r="G83" s="3">
        <v>156</v>
      </c>
      <c r="H83">
        <f>_xlfn.XLOOKUP(data[[#This Row],[Product]],products[Product],products[Cost per unit])</f>
        <v>3.11</v>
      </c>
      <c r="I83" s="29">
        <f>data[[#This Row],[Cost per Unit]]*data[[#This Row],[Units]]</f>
        <v>485.15999999999997</v>
      </c>
    </row>
    <row r="84" spans="3:9" x14ac:dyDescent="0.3">
      <c r="C84" t="s">
        <v>9</v>
      </c>
      <c r="D84" t="s">
        <v>35</v>
      </c>
      <c r="E84" t="s">
        <v>26</v>
      </c>
      <c r="F84" s="2">
        <v>98</v>
      </c>
      <c r="G84" s="3">
        <v>159</v>
      </c>
      <c r="H84">
        <f>_xlfn.XLOOKUP(data[[#This Row],[Product]],products[Product],products[Cost per unit])</f>
        <v>5.6</v>
      </c>
      <c r="I84" s="29">
        <f>data[[#This Row],[Cost per Unit]]*data[[#This Row],[Units]]</f>
        <v>890.4</v>
      </c>
    </row>
    <row r="85" spans="3:9" x14ac:dyDescent="0.3">
      <c r="C85" t="s">
        <v>5</v>
      </c>
      <c r="D85" t="s">
        <v>35</v>
      </c>
      <c r="E85" t="s">
        <v>15</v>
      </c>
      <c r="F85" s="2">
        <v>13391</v>
      </c>
      <c r="G85" s="3">
        <v>201</v>
      </c>
      <c r="H85">
        <f>_xlfn.XLOOKUP(data[[#This Row],[Product]],products[Product],products[Cost per unit])</f>
        <v>11.73</v>
      </c>
      <c r="I85" s="29">
        <f>data[[#This Row],[Cost per Unit]]*data[[#This Row],[Units]]</f>
        <v>2357.73</v>
      </c>
    </row>
    <row r="86" spans="3:9" x14ac:dyDescent="0.3">
      <c r="C86" t="s">
        <v>8</v>
      </c>
      <c r="D86" t="s">
        <v>39</v>
      </c>
      <c r="E86" t="s">
        <v>31</v>
      </c>
      <c r="F86" s="2">
        <v>8890</v>
      </c>
      <c r="G86" s="3">
        <v>210</v>
      </c>
      <c r="H86">
        <f>_xlfn.XLOOKUP(data[[#This Row],[Product]],products[Product],products[Cost per unit])</f>
        <v>5.79</v>
      </c>
      <c r="I86" s="29">
        <f>data[[#This Row],[Cost per Unit]]*data[[#This Row],[Units]]</f>
        <v>1215.9000000000001</v>
      </c>
    </row>
    <row r="87" spans="3:9" x14ac:dyDescent="0.3">
      <c r="C87" t="s">
        <v>2</v>
      </c>
      <c r="D87" t="s">
        <v>38</v>
      </c>
      <c r="E87" t="s">
        <v>13</v>
      </c>
      <c r="F87" s="2">
        <v>56</v>
      </c>
      <c r="G87" s="3">
        <v>51</v>
      </c>
      <c r="H87">
        <f>_xlfn.XLOOKUP(data[[#This Row],[Product]],products[Product],products[Cost per unit])</f>
        <v>9.33</v>
      </c>
      <c r="I87" s="29">
        <f>data[[#This Row],[Cost per Unit]]*data[[#This Row],[Units]]</f>
        <v>475.83</v>
      </c>
    </row>
    <row r="88" spans="3:9" x14ac:dyDescent="0.3">
      <c r="C88" t="s">
        <v>3</v>
      </c>
      <c r="D88" t="s">
        <v>36</v>
      </c>
      <c r="E88" t="s">
        <v>25</v>
      </c>
      <c r="F88" s="2">
        <v>3339</v>
      </c>
      <c r="G88" s="3">
        <v>39</v>
      </c>
      <c r="H88">
        <f>_xlfn.XLOOKUP(data[[#This Row],[Product]],products[Product],products[Cost per unit])</f>
        <v>13.15</v>
      </c>
      <c r="I88" s="29">
        <f>data[[#This Row],[Cost per Unit]]*data[[#This Row],[Units]]</f>
        <v>512.85</v>
      </c>
    </row>
    <row r="89" spans="3:9" x14ac:dyDescent="0.3">
      <c r="C89" t="s">
        <v>10</v>
      </c>
      <c r="D89" t="s">
        <v>35</v>
      </c>
      <c r="E89" t="s">
        <v>18</v>
      </c>
      <c r="F89" s="2">
        <v>3808</v>
      </c>
      <c r="G89" s="3">
        <v>279</v>
      </c>
      <c r="H89">
        <f>_xlfn.XLOOKUP(data[[#This Row],[Product]],products[Product],products[Cost per unit])</f>
        <v>6.47</v>
      </c>
      <c r="I89" s="29">
        <f>data[[#This Row],[Cost per Unit]]*data[[#This Row],[Units]]</f>
        <v>1805.1299999999999</v>
      </c>
    </row>
    <row r="90" spans="3:9" x14ac:dyDescent="0.3">
      <c r="C90" t="s">
        <v>10</v>
      </c>
      <c r="D90" t="s">
        <v>38</v>
      </c>
      <c r="E90" t="s">
        <v>13</v>
      </c>
      <c r="F90" s="2">
        <v>63</v>
      </c>
      <c r="G90" s="3">
        <v>123</v>
      </c>
      <c r="H90">
        <f>_xlfn.XLOOKUP(data[[#This Row],[Product]],products[Product],products[Cost per unit])</f>
        <v>9.33</v>
      </c>
      <c r="I90" s="29">
        <f>data[[#This Row],[Cost per Unit]]*data[[#This Row],[Units]]</f>
        <v>1147.5899999999999</v>
      </c>
    </row>
    <row r="91" spans="3:9" x14ac:dyDescent="0.3">
      <c r="C91" t="s">
        <v>2</v>
      </c>
      <c r="D91" t="s">
        <v>39</v>
      </c>
      <c r="E91" t="s">
        <v>27</v>
      </c>
      <c r="F91" s="2">
        <v>7812</v>
      </c>
      <c r="G91" s="3">
        <v>81</v>
      </c>
      <c r="H91">
        <f>_xlfn.XLOOKUP(data[[#This Row],[Product]],products[Product],products[Cost per unit])</f>
        <v>16.73</v>
      </c>
      <c r="I91" s="29">
        <f>data[[#This Row],[Cost per Unit]]*data[[#This Row],[Units]]</f>
        <v>1355.13</v>
      </c>
    </row>
    <row r="92" spans="3:9" x14ac:dyDescent="0.3">
      <c r="C92" t="s">
        <v>40</v>
      </c>
      <c r="D92" t="s">
        <v>37</v>
      </c>
      <c r="E92" t="s">
        <v>19</v>
      </c>
      <c r="F92" s="2">
        <v>7693</v>
      </c>
      <c r="G92" s="3">
        <v>21</v>
      </c>
      <c r="H92">
        <f>_xlfn.XLOOKUP(data[[#This Row],[Product]],products[Product],products[Cost per unit])</f>
        <v>7.64</v>
      </c>
      <c r="I92" s="29">
        <f>data[[#This Row],[Cost per Unit]]*data[[#This Row],[Units]]</f>
        <v>160.44</v>
      </c>
    </row>
    <row r="93" spans="3:9" x14ac:dyDescent="0.3">
      <c r="C93" t="s">
        <v>3</v>
      </c>
      <c r="D93" t="s">
        <v>36</v>
      </c>
      <c r="E93" t="s">
        <v>28</v>
      </c>
      <c r="F93" s="2">
        <v>973</v>
      </c>
      <c r="G93" s="3">
        <v>162</v>
      </c>
      <c r="H93">
        <f>_xlfn.XLOOKUP(data[[#This Row],[Product]],products[Product],products[Cost per unit])</f>
        <v>10.38</v>
      </c>
      <c r="I93" s="29">
        <f>data[[#This Row],[Cost per Unit]]*data[[#This Row],[Units]]</f>
        <v>1681.5600000000002</v>
      </c>
    </row>
    <row r="94" spans="3:9" x14ac:dyDescent="0.3">
      <c r="C94" t="s">
        <v>10</v>
      </c>
      <c r="D94" t="s">
        <v>35</v>
      </c>
      <c r="E94" t="s">
        <v>21</v>
      </c>
      <c r="F94" s="2">
        <v>567</v>
      </c>
      <c r="G94" s="3">
        <v>228</v>
      </c>
      <c r="H94">
        <f>_xlfn.XLOOKUP(data[[#This Row],[Product]],products[Product],products[Cost per unit])</f>
        <v>9</v>
      </c>
      <c r="I94" s="29">
        <f>data[[#This Row],[Cost per Unit]]*data[[#This Row],[Units]]</f>
        <v>2052</v>
      </c>
    </row>
    <row r="95" spans="3:9" x14ac:dyDescent="0.3">
      <c r="C95" t="s">
        <v>10</v>
      </c>
      <c r="D95" t="s">
        <v>36</v>
      </c>
      <c r="E95" t="s">
        <v>29</v>
      </c>
      <c r="F95" s="2">
        <v>2471</v>
      </c>
      <c r="G95" s="3">
        <v>342</v>
      </c>
      <c r="H95">
        <f>_xlfn.XLOOKUP(data[[#This Row],[Product]],products[Product],products[Cost per unit])</f>
        <v>7.16</v>
      </c>
      <c r="I95" s="29">
        <f>data[[#This Row],[Cost per Unit]]*data[[#This Row],[Units]]</f>
        <v>2448.7200000000003</v>
      </c>
    </row>
    <row r="96" spans="3:9" x14ac:dyDescent="0.3">
      <c r="C96" t="s">
        <v>5</v>
      </c>
      <c r="D96" t="s">
        <v>38</v>
      </c>
      <c r="E96" t="s">
        <v>13</v>
      </c>
      <c r="F96" s="2">
        <v>7189</v>
      </c>
      <c r="G96" s="3">
        <v>54</v>
      </c>
      <c r="H96">
        <f>_xlfn.XLOOKUP(data[[#This Row],[Product]],products[Product],products[Cost per unit])</f>
        <v>9.33</v>
      </c>
      <c r="I96" s="29">
        <f>data[[#This Row],[Cost per Unit]]*data[[#This Row],[Units]]</f>
        <v>503.82</v>
      </c>
    </row>
    <row r="97" spans="3:9" x14ac:dyDescent="0.3">
      <c r="C97" t="s">
        <v>41</v>
      </c>
      <c r="D97" t="s">
        <v>35</v>
      </c>
      <c r="E97" t="s">
        <v>28</v>
      </c>
      <c r="F97" s="2">
        <v>7455</v>
      </c>
      <c r="G97" s="3">
        <v>216</v>
      </c>
      <c r="H97">
        <f>_xlfn.XLOOKUP(data[[#This Row],[Product]],products[Product],products[Cost per unit])</f>
        <v>10.38</v>
      </c>
      <c r="I97" s="29">
        <f>data[[#This Row],[Cost per Unit]]*data[[#This Row],[Units]]</f>
        <v>2242.0800000000004</v>
      </c>
    </row>
    <row r="98" spans="3:9" x14ac:dyDescent="0.3">
      <c r="C98" t="s">
        <v>3</v>
      </c>
      <c r="D98" t="s">
        <v>34</v>
      </c>
      <c r="E98" t="s">
        <v>26</v>
      </c>
      <c r="F98" s="2">
        <v>3108</v>
      </c>
      <c r="G98" s="3">
        <v>54</v>
      </c>
      <c r="H98">
        <f>_xlfn.XLOOKUP(data[[#This Row],[Product]],products[Product],products[Cost per unit])</f>
        <v>5.6</v>
      </c>
      <c r="I98" s="29">
        <f>data[[#This Row],[Cost per Unit]]*data[[#This Row],[Units]]</f>
        <v>302.39999999999998</v>
      </c>
    </row>
    <row r="99" spans="3:9" x14ac:dyDescent="0.3">
      <c r="C99" t="s">
        <v>6</v>
      </c>
      <c r="D99" t="s">
        <v>38</v>
      </c>
      <c r="E99" t="s">
        <v>25</v>
      </c>
      <c r="F99" s="2">
        <v>469</v>
      </c>
      <c r="G99" s="3">
        <v>75</v>
      </c>
      <c r="H99">
        <f>_xlfn.XLOOKUP(data[[#This Row],[Product]],products[Product],products[Cost per unit])</f>
        <v>13.15</v>
      </c>
      <c r="I99" s="29">
        <f>data[[#This Row],[Cost per Unit]]*data[[#This Row],[Units]]</f>
        <v>986.25</v>
      </c>
    </row>
    <row r="100" spans="3:9" x14ac:dyDescent="0.3">
      <c r="C100" t="s">
        <v>9</v>
      </c>
      <c r="D100" t="s">
        <v>37</v>
      </c>
      <c r="E100" t="s">
        <v>23</v>
      </c>
      <c r="F100" s="2">
        <v>2737</v>
      </c>
      <c r="G100" s="3">
        <v>93</v>
      </c>
      <c r="H100">
        <f>_xlfn.XLOOKUP(data[[#This Row],[Product]],products[Product],products[Cost per unit])</f>
        <v>6.49</v>
      </c>
      <c r="I100" s="29">
        <f>data[[#This Row],[Cost per Unit]]*data[[#This Row],[Units]]</f>
        <v>603.57000000000005</v>
      </c>
    </row>
    <row r="101" spans="3:9" x14ac:dyDescent="0.3">
      <c r="C101" t="s">
        <v>9</v>
      </c>
      <c r="D101" t="s">
        <v>37</v>
      </c>
      <c r="E101" t="s">
        <v>25</v>
      </c>
      <c r="F101" s="2">
        <v>4305</v>
      </c>
      <c r="G101" s="3">
        <v>156</v>
      </c>
      <c r="H101">
        <f>_xlfn.XLOOKUP(data[[#This Row],[Product]],products[Product],products[Cost per unit])</f>
        <v>13.15</v>
      </c>
      <c r="I101" s="29">
        <f>data[[#This Row],[Cost per Unit]]*data[[#This Row],[Units]]</f>
        <v>2051.4</v>
      </c>
    </row>
    <row r="102" spans="3:9" x14ac:dyDescent="0.3">
      <c r="C102" t="s">
        <v>9</v>
      </c>
      <c r="D102" t="s">
        <v>38</v>
      </c>
      <c r="E102" t="s">
        <v>17</v>
      </c>
      <c r="F102" s="2">
        <v>2408</v>
      </c>
      <c r="G102" s="3">
        <v>9</v>
      </c>
      <c r="H102">
        <f>_xlfn.XLOOKUP(data[[#This Row],[Product]],products[Product],products[Cost per unit])</f>
        <v>3.11</v>
      </c>
      <c r="I102" s="29">
        <f>data[[#This Row],[Cost per Unit]]*data[[#This Row],[Units]]</f>
        <v>27.99</v>
      </c>
    </row>
    <row r="103" spans="3:9" x14ac:dyDescent="0.3">
      <c r="C103" t="s">
        <v>3</v>
      </c>
      <c r="D103" t="s">
        <v>36</v>
      </c>
      <c r="E103" t="s">
        <v>19</v>
      </c>
      <c r="F103" s="2">
        <v>1281</v>
      </c>
      <c r="G103" s="3">
        <v>18</v>
      </c>
      <c r="H103">
        <f>_xlfn.XLOOKUP(data[[#This Row],[Product]],products[Product],products[Cost per unit])</f>
        <v>7.64</v>
      </c>
      <c r="I103" s="29">
        <f>data[[#This Row],[Cost per Unit]]*data[[#This Row],[Units]]</f>
        <v>137.51999999999998</v>
      </c>
    </row>
    <row r="104" spans="3:9" x14ac:dyDescent="0.3">
      <c r="C104" t="s">
        <v>40</v>
      </c>
      <c r="D104" t="s">
        <v>35</v>
      </c>
      <c r="E104" t="s">
        <v>32</v>
      </c>
      <c r="F104" s="2">
        <v>12348</v>
      </c>
      <c r="G104" s="3">
        <v>234</v>
      </c>
      <c r="H104">
        <f>_xlfn.XLOOKUP(data[[#This Row],[Product]],products[Product],products[Cost per unit])</f>
        <v>8.65</v>
      </c>
      <c r="I104" s="29">
        <f>data[[#This Row],[Cost per Unit]]*data[[#This Row],[Units]]</f>
        <v>2024.1000000000001</v>
      </c>
    </row>
    <row r="105" spans="3:9" x14ac:dyDescent="0.3">
      <c r="C105" t="s">
        <v>3</v>
      </c>
      <c r="D105" t="s">
        <v>34</v>
      </c>
      <c r="E105" t="s">
        <v>28</v>
      </c>
      <c r="F105" s="2">
        <v>3689</v>
      </c>
      <c r="G105" s="3">
        <v>312</v>
      </c>
      <c r="H105">
        <f>_xlfn.XLOOKUP(data[[#This Row],[Product]],products[Product],products[Cost per unit])</f>
        <v>10.38</v>
      </c>
      <c r="I105" s="29">
        <f>data[[#This Row],[Cost per Unit]]*data[[#This Row],[Units]]</f>
        <v>3238.5600000000004</v>
      </c>
    </row>
    <row r="106" spans="3:9" x14ac:dyDescent="0.3">
      <c r="C106" t="s">
        <v>7</v>
      </c>
      <c r="D106" t="s">
        <v>36</v>
      </c>
      <c r="E106" t="s">
        <v>19</v>
      </c>
      <c r="F106" s="2">
        <v>2870</v>
      </c>
      <c r="G106" s="3">
        <v>300</v>
      </c>
      <c r="H106">
        <f>_xlfn.XLOOKUP(data[[#This Row],[Product]],products[Product],products[Cost per unit])</f>
        <v>7.64</v>
      </c>
      <c r="I106" s="29">
        <f>data[[#This Row],[Cost per Unit]]*data[[#This Row],[Units]]</f>
        <v>2292</v>
      </c>
    </row>
    <row r="107" spans="3:9" x14ac:dyDescent="0.3">
      <c r="C107" t="s">
        <v>2</v>
      </c>
      <c r="D107" t="s">
        <v>36</v>
      </c>
      <c r="E107" t="s">
        <v>27</v>
      </c>
      <c r="F107" s="2">
        <v>798</v>
      </c>
      <c r="G107" s="3">
        <v>519</v>
      </c>
      <c r="H107">
        <f>_xlfn.XLOOKUP(data[[#This Row],[Product]],products[Product],products[Cost per unit])</f>
        <v>16.73</v>
      </c>
      <c r="I107" s="29">
        <f>data[[#This Row],[Cost per Unit]]*data[[#This Row],[Units]]</f>
        <v>8682.8700000000008</v>
      </c>
    </row>
    <row r="108" spans="3:9" x14ac:dyDescent="0.3">
      <c r="C108" t="s">
        <v>41</v>
      </c>
      <c r="D108" t="s">
        <v>37</v>
      </c>
      <c r="E108" t="s">
        <v>21</v>
      </c>
      <c r="F108" s="2">
        <v>2933</v>
      </c>
      <c r="G108" s="3">
        <v>9</v>
      </c>
      <c r="H108">
        <f>_xlfn.XLOOKUP(data[[#This Row],[Product]],products[Product],products[Cost per unit])</f>
        <v>9</v>
      </c>
      <c r="I108" s="29">
        <f>data[[#This Row],[Cost per Unit]]*data[[#This Row],[Units]]</f>
        <v>81</v>
      </c>
    </row>
    <row r="109" spans="3:9" x14ac:dyDescent="0.3">
      <c r="C109" t="s">
        <v>5</v>
      </c>
      <c r="D109" t="s">
        <v>35</v>
      </c>
      <c r="E109" t="s">
        <v>4</v>
      </c>
      <c r="F109" s="2">
        <v>2744</v>
      </c>
      <c r="G109" s="3">
        <v>9</v>
      </c>
      <c r="H109">
        <f>_xlfn.XLOOKUP(data[[#This Row],[Product]],products[Product],products[Cost per unit])</f>
        <v>11.88</v>
      </c>
      <c r="I109" s="29">
        <f>data[[#This Row],[Cost per Unit]]*data[[#This Row],[Units]]</f>
        <v>106.92</v>
      </c>
    </row>
    <row r="110" spans="3:9" x14ac:dyDescent="0.3">
      <c r="C110" t="s">
        <v>40</v>
      </c>
      <c r="D110" t="s">
        <v>36</v>
      </c>
      <c r="E110" t="s">
        <v>33</v>
      </c>
      <c r="F110" s="2">
        <v>9772</v>
      </c>
      <c r="G110" s="3">
        <v>90</v>
      </c>
      <c r="H110">
        <f>_xlfn.XLOOKUP(data[[#This Row],[Product]],products[Product],products[Cost per unit])</f>
        <v>12.37</v>
      </c>
      <c r="I110" s="29">
        <f>data[[#This Row],[Cost per Unit]]*data[[#This Row],[Units]]</f>
        <v>1113.3</v>
      </c>
    </row>
    <row r="111" spans="3:9" x14ac:dyDescent="0.3">
      <c r="C111" t="s">
        <v>7</v>
      </c>
      <c r="D111" t="s">
        <v>34</v>
      </c>
      <c r="E111" t="s">
        <v>25</v>
      </c>
      <c r="F111" s="2">
        <v>1568</v>
      </c>
      <c r="G111" s="3">
        <v>96</v>
      </c>
      <c r="H111">
        <f>_xlfn.XLOOKUP(data[[#This Row],[Product]],products[Product],products[Cost per unit])</f>
        <v>13.15</v>
      </c>
      <c r="I111" s="29">
        <f>data[[#This Row],[Cost per Unit]]*data[[#This Row],[Units]]</f>
        <v>1262.4000000000001</v>
      </c>
    </row>
    <row r="112" spans="3:9" x14ac:dyDescent="0.3">
      <c r="C112" t="s">
        <v>2</v>
      </c>
      <c r="D112" t="s">
        <v>36</v>
      </c>
      <c r="E112" t="s">
        <v>16</v>
      </c>
      <c r="F112" s="2">
        <v>11417</v>
      </c>
      <c r="G112" s="3">
        <v>21</v>
      </c>
      <c r="H112">
        <f>_xlfn.XLOOKUP(data[[#This Row],[Product]],products[Product],products[Cost per unit])</f>
        <v>8.7899999999999991</v>
      </c>
      <c r="I112" s="29">
        <f>data[[#This Row],[Cost per Unit]]*data[[#This Row],[Units]]</f>
        <v>184.58999999999997</v>
      </c>
    </row>
    <row r="113" spans="3:9" x14ac:dyDescent="0.3">
      <c r="C113" t="s">
        <v>40</v>
      </c>
      <c r="D113" t="s">
        <v>34</v>
      </c>
      <c r="E113" t="s">
        <v>26</v>
      </c>
      <c r="F113" s="2">
        <v>6748</v>
      </c>
      <c r="G113" s="3">
        <v>48</v>
      </c>
      <c r="H113">
        <f>_xlfn.XLOOKUP(data[[#This Row],[Product]],products[Product],products[Cost per unit])</f>
        <v>5.6</v>
      </c>
      <c r="I113" s="29">
        <f>data[[#This Row],[Cost per Unit]]*data[[#This Row],[Units]]</f>
        <v>268.79999999999995</v>
      </c>
    </row>
    <row r="114" spans="3:9" x14ac:dyDescent="0.3">
      <c r="C114" t="s">
        <v>10</v>
      </c>
      <c r="D114" t="s">
        <v>36</v>
      </c>
      <c r="E114" t="s">
        <v>27</v>
      </c>
      <c r="F114" s="2">
        <v>1407</v>
      </c>
      <c r="G114" s="3">
        <v>72</v>
      </c>
      <c r="H114">
        <f>_xlfn.XLOOKUP(data[[#This Row],[Product]],products[Product],products[Cost per unit])</f>
        <v>16.73</v>
      </c>
      <c r="I114" s="29">
        <f>data[[#This Row],[Cost per Unit]]*data[[#This Row],[Units]]</f>
        <v>1204.56</v>
      </c>
    </row>
    <row r="115" spans="3:9" x14ac:dyDescent="0.3">
      <c r="C115" t="s">
        <v>8</v>
      </c>
      <c r="D115" t="s">
        <v>35</v>
      </c>
      <c r="E115" t="s">
        <v>29</v>
      </c>
      <c r="F115" s="2">
        <v>2023</v>
      </c>
      <c r="G115" s="3">
        <v>168</v>
      </c>
      <c r="H115">
        <f>_xlfn.XLOOKUP(data[[#This Row],[Product]],products[Product],products[Cost per unit])</f>
        <v>7.16</v>
      </c>
      <c r="I115" s="29">
        <f>data[[#This Row],[Cost per Unit]]*data[[#This Row],[Units]]</f>
        <v>1202.8800000000001</v>
      </c>
    </row>
    <row r="116" spans="3:9" x14ac:dyDescent="0.3">
      <c r="C116" t="s">
        <v>5</v>
      </c>
      <c r="D116" t="s">
        <v>39</v>
      </c>
      <c r="E116" t="s">
        <v>26</v>
      </c>
      <c r="F116" s="2">
        <v>5236</v>
      </c>
      <c r="G116" s="3">
        <v>51</v>
      </c>
      <c r="H116">
        <f>_xlfn.XLOOKUP(data[[#This Row],[Product]],products[Product],products[Cost per unit])</f>
        <v>5.6</v>
      </c>
      <c r="I116" s="29">
        <f>data[[#This Row],[Cost per Unit]]*data[[#This Row],[Units]]</f>
        <v>285.59999999999997</v>
      </c>
    </row>
    <row r="117" spans="3:9" x14ac:dyDescent="0.3">
      <c r="C117" t="s">
        <v>41</v>
      </c>
      <c r="D117" t="s">
        <v>36</v>
      </c>
      <c r="E117" t="s">
        <v>19</v>
      </c>
      <c r="F117" s="2">
        <v>1925</v>
      </c>
      <c r="G117" s="3">
        <v>192</v>
      </c>
      <c r="H117">
        <f>_xlfn.XLOOKUP(data[[#This Row],[Product]],products[Product],products[Cost per unit])</f>
        <v>7.64</v>
      </c>
      <c r="I117" s="29">
        <f>data[[#This Row],[Cost per Unit]]*data[[#This Row],[Units]]</f>
        <v>1466.8799999999999</v>
      </c>
    </row>
    <row r="118" spans="3:9" x14ac:dyDescent="0.3">
      <c r="C118" t="s">
        <v>7</v>
      </c>
      <c r="D118" t="s">
        <v>37</v>
      </c>
      <c r="E118" t="s">
        <v>14</v>
      </c>
      <c r="F118" s="2">
        <v>6608</v>
      </c>
      <c r="G118" s="3">
        <v>225</v>
      </c>
      <c r="H118">
        <f>_xlfn.XLOOKUP(data[[#This Row],[Product]],products[Product],products[Cost per unit])</f>
        <v>11.7</v>
      </c>
      <c r="I118" s="29">
        <f>data[[#This Row],[Cost per Unit]]*data[[#This Row],[Units]]</f>
        <v>2632.5</v>
      </c>
    </row>
    <row r="119" spans="3:9" x14ac:dyDescent="0.3">
      <c r="C119" t="s">
        <v>6</v>
      </c>
      <c r="D119" t="s">
        <v>34</v>
      </c>
      <c r="E119" t="s">
        <v>26</v>
      </c>
      <c r="F119" s="2">
        <v>8008</v>
      </c>
      <c r="G119" s="3">
        <v>456</v>
      </c>
      <c r="H119">
        <f>_xlfn.XLOOKUP(data[[#This Row],[Product]],products[Product],products[Cost per unit])</f>
        <v>5.6</v>
      </c>
      <c r="I119" s="29">
        <f>data[[#This Row],[Cost per Unit]]*data[[#This Row],[Units]]</f>
        <v>2553.6</v>
      </c>
    </row>
    <row r="120" spans="3:9" x14ac:dyDescent="0.3">
      <c r="C120" t="s">
        <v>10</v>
      </c>
      <c r="D120" t="s">
        <v>34</v>
      </c>
      <c r="E120" t="s">
        <v>25</v>
      </c>
      <c r="F120" s="2">
        <v>1428</v>
      </c>
      <c r="G120" s="3">
        <v>93</v>
      </c>
      <c r="H120">
        <f>_xlfn.XLOOKUP(data[[#This Row],[Product]],products[Product],products[Cost per unit])</f>
        <v>13.15</v>
      </c>
      <c r="I120" s="29">
        <f>data[[#This Row],[Cost per Unit]]*data[[#This Row],[Units]]</f>
        <v>1222.95</v>
      </c>
    </row>
    <row r="121" spans="3:9" x14ac:dyDescent="0.3">
      <c r="C121" t="s">
        <v>6</v>
      </c>
      <c r="D121" t="s">
        <v>34</v>
      </c>
      <c r="E121" t="s">
        <v>4</v>
      </c>
      <c r="F121" s="2">
        <v>525</v>
      </c>
      <c r="G121" s="3">
        <v>48</v>
      </c>
      <c r="H121">
        <f>_xlfn.XLOOKUP(data[[#This Row],[Product]],products[Product],products[Cost per unit])</f>
        <v>11.88</v>
      </c>
      <c r="I121" s="29">
        <f>data[[#This Row],[Cost per Unit]]*data[[#This Row],[Units]]</f>
        <v>570.24</v>
      </c>
    </row>
    <row r="122" spans="3:9" x14ac:dyDescent="0.3">
      <c r="C122" t="s">
        <v>6</v>
      </c>
      <c r="D122" t="s">
        <v>37</v>
      </c>
      <c r="E122" t="s">
        <v>18</v>
      </c>
      <c r="F122" s="2">
        <v>1505</v>
      </c>
      <c r="G122" s="3">
        <v>102</v>
      </c>
      <c r="H122">
        <f>_xlfn.XLOOKUP(data[[#This Row],[Product]],products[Product],products[Cost per unit])</f>
        <v>6.47</v>
      </c>
      <c r="I122" s="29">
        <f>data[[#This Row],[Cost per Unit]]*data[[#This Row],[Units]]</f>
        <v>659.93999999999994</v>
      </c>
    </row>
    <row r="123" spans="3:9" x14ac:dyDescent="0.3">
      <c r="C123" t="s">
        <v>7</v>
      </c>
      <c r="D123" t="s">
        <v>35</v>
      </c>
      <c r="E123" t="s">
        <v>30</v>
      </c>
      <c r="F123" s="2">
        <v>6755</v>
      </c>
      <c r="G123" s="3">
        <v>252</v>
      </c>
      <c r="H123">
        <f>_xlfn.XLOOKUP(data[[#This Row],[Product]],products[Product],products[Cost per unit])</f>
        <v>14.49</v>
      </c>
      <c r="I123" s="29">
        <f>data[[#This Row],[Cost per Unit]]*data[[#This Row],[Units]]</f>
        <v>3651.48</v>
      </c>
    </row>
    <row r="124" spans="3:9" x14ac:dyDescent="0.3">
      <c r="C124" t="s">
        <v>2</v>
      </c>
      <c r="D124" t="s">
        <v>37</v>
      </c>
      <c r="E124" t="s">
        <v>18</v>
      </c>
      <c r="F124" s="2">
        <v>11571</v>
      </c>
      <c r="G124" s="3">
        <v>138</v>
      </c>
      <c r="H124">
        <f>_xlfn.XLOOKUP(data[[#This Row],[Product]],products[Product],products[Cost per unit])</f>
        <v>6.47</v>
      </c>
      <c r="I124" s="29">
        <f>data[[#This Row],[Cost per Unit]]*data[[#This Row],[Units]]</f>
        <v>892.86</v>
      </c>
    </row>
    <row r="125" spans="3:9" x14ac:dyDescent="0.3">
      <c r="C125" t="s">
        <v>40</v>
      </c>
      <c r="D125" t="s">
        <v>38</v>
      </c>
      <c r="E125" t="s">
        <v>25</v>
      </c>
      <c r="F125" s="2">
        <v>2541</v>
      </c>
      <c r="G125" s="3">
        <v>90</v>
      </c>
      <c r="H125">
        <f>_xlfn.XLOOKUP(data[[#This Row],[Product]],products[Product],products[Cost per unit])</f>
        <v>13.15</v>
      </c>
      <c r="I125" s="29">
        <f>data[[#This Row],[Cost per Unit]]*data[[#This Row],[Units]]</f>
        <v>1183.5</v>
      </c>
    </row>
    <row r="126" spans="3:9" x14ac:dyDescent="0.3">
      <c r="C126" t="s">
        <v>41</v>
      </c>
      <c r="D126" t="s">
        <v>37</v>
      </c>
      <c r="E126" t="s">
        <v>30</v>
      </c>
      <c r="F126" s="2">
        <v>1526</v>
      </c>
      <c r="G126" s="3">
        <v>240</v>
      </c>
      <c r="H126">
        <f>_xlfn.XLOOKUP(data[[#This Row],[Product]],products[Product],products[Cost per unit])</f>
        <v>14.49</v>
      </c>
      <c r="I126" s="29">
        <f>data[[#This Row],[Cost per Unit]]*data[[#This Row],[Units]]</f>
        <v>3477.6</v>
      </c>
    </row>
    <row r="127" spans="3:9" x14ac:dyDescent="0.3">
      <c r="C127" t="s">
        <v>40</v>
      </c>
      <c r="D127" t="s">
        <v>38</v>
      </c>
      <c r="E127" t="s">
        <v>4</v>
      </c>
      <c r="F127" s="2">
        <v>6125</v>
      </c>
      <c r="G127" s="3">
        <v>102</v>
      </c>
      <c r="H127">
        <f>_xlfn.XLOOKUP(data[[#This Row],[Product]],products[Product],products[Cost per unit])</f>
        <v>11.88</v>
      </c>
      <c r="I127" s="29">
        <f>data[[#This Row],[Cost per Unit]]*data[[#This Row],[Units]]</f>
        <v>1211.76</v>
      </c>
    </row>
    <row r="128" spans="3:9" x14ac:dyDescent="0.3">
      <c r="C128" t="s">
        <v>41</v>
      </c>
      <c r="D128" t="s">
        <v>35</v>
      </c>
      <c r="E128" t="s">
        <v>27</v>
      </c>
      <c r="F128" s="2">
        <v>847</v>
      </c>
      <c r="G128" s="3">
        <v>129</v>
      </c>
      <c r="H128">
        <f>_xlfn.XLOOKUP(data[[#This Row],[Product]],products[Product],products[Cost per unit])</f>
        <v>16.73</v>
      </c>
      <c r="I128" s="29">
        <f>data[[#This Row],[Cost per Unit]]*data[[#This Row],[Units]]</f>
        <v>2158.17</v>
      </c>
    </row>
    <row r="129" spans="3:9" x14ac:dyDescent="0.3">
      <c r="C129" t="s">
        <v>8</v>
      </c>
      <c r="D129" t="s">
        <v>35</v>
      </c>
      <c r="E129" t="s">
        <v>27</v>
      </c>
      <c r="F129" s="2">
        <v>4753</v>
      </c>
      <c r="G129" s="3">
        <v>300</v>
      </c>
      <c r="H129">
        <f>_xlfn.XLOOKUP(data[[#This Row],[Product]],products[Product],products[Cost per unit])</f>
        <v>16.73</v>
      </c>
      <c r="I129" s="29">
        <f>data[[#This Row],[Cost per Unit]]*data[[#This Row],[Units]]</f>
        <v>5019</v>
      </c>
    </row>
    <row r="130" spans="3:9" x14ac:dyDescent="0.3">
      <c r="C130" t="s">
        <v>6</v>
      </c>
      <c r="D130" t="s">
        <v>38</v>
      </c>
      <c r="E130" t="s">
        <v>33</v>
      </c>
      <c r="F130" s="2">
        <v>959</v>
      </c>
      <c r="G130" s="3">
        <v>135</v>
      </c>
      <c r="H130">
        <f>_xlfn.XLOOKUP(data[[#This Row],[Product]],products[Product],products[Cost per unit])</f>
        <v>12.37</v>
      </c>
      <c r="I130" s="29">
        <f>data[[#This Row],[Cost per Unit]]*data[[#This Row],[Units]]</f>
        <v>1669.9499999999998</v>
      </c>
    </row>
    <row r="131" spans="3:9" x14ac:dyDescent="0.3">
      <c r="C131" t="s">
        <v>7</v>
      </c>
      <c r="D131" t="s">
        <v>35</v>
      </c>
      <c r="E131" t="s">
        <v>24</v>
      </c>
      <c r="F131" s="2">
        <v>2793</v>
      </c>
      <c r="G131" s="3">
        <v>114</v>
      </c>
      <c r="H131">
        <f>_xlfn.XLOOKUP(data[[#This Row],[Product]],products[Product],products[Cost per unit])</f>
        <v>4.97</v>
      </c>
      <c r="I131" s="29">
        <f>data[[#This Row],[Cost per Unit]]*data[[#This Row],[Units]]</f>
        <v>566.57999999999993</v>
      </c>
    </row>
    <row r="132" spans="3:9" x14ac:dyDescent="0.3">
      <c r="C132" t="s">
        <v>7</v>
      </c>
      <c r="D132" t="s">
        <v>35</v>
      </c>
      <c r="E132" t="s">
        <v>14</v>
      </c>
      <c r="F132" s="2">
        <v>4606</v>
      </c>
      <c r="G132" s="3">
        <v>63</v>
      </c>
      <c r="H132">
        <f>_xlfn.XLOOKUP(data[[#This Row],[Product]],products[Product],products[Cost per unit])</f>
        <v>11.7</v>
      </c>
      <c r="I132" s="29">
        <f>data[[#This Row],[Cost per Unit]]*data[[#This Row],[Units]]</f>
        <v>737.09999999999991</v>
      </c>
    </row>
    <row r="133" spans="3:9" x14ac:dyDescent="0.3">
      <c r="C133" t="s">
        <v>7</v>
      </c>
      <c r="D133" t="s">
        <v>36</v>
      </c>
      <c r="E133" t="s">
        <v>29</v>
      </c>
      <c r="F133" s="2">
        <v>5551</v>
      </c>
      <c r="G133" s="3">
        <v>252</v>
      </c>
      <c r="H133">
        <f>_xlfn.XLOOKUP(data[[#This Row],[Product]],products[Product],products[Cost per unit])</f>
        <v>7.16</v>
      </c>
      <c r="I133" s="29">
        <f>data[[#This Row],[Cost per Unit]]*data[[#This Row],[Units]]</f>
        <v>1804.32</v>
      </c>
    </row>
    <row r="134" spans="3:9" x14ac:dyDescent="0.3">
      <c r="C134" t="s">
        <v>10</v>
      </c>
      <c r="D134" t="s">
        <v>36</v>
      </c>
      <c r="E134" t="s">
        <v>32</v>
      </c>
      <c r="F134" s="2">
        <v>6657</v>
      </c>
      <c r="G134" s="3">
        <v>303</v>
      </c>
      <c r="H134">
        <f>_xlfn.XLOOKUP(data[[#This Row],[Product]],products[Product],products[Cost per unit])</f>
        <v>8.65</v>
      </c>
      <c r="I134" s="29">
        <f>data[[#This Row],[Cost per Unit]]*data[[#This Row],[Units]]</f>
        <v>2620.9500000000003</v>
      </c>
    </row>
    <row r="135" spans="3:9" x14ac:dyDescent="0.3">
      <c r="C135" t="s">
        <v>7</v>
      </c>
      <c r="D135" t="s">
        <v>39</v>
      </c>
      <c r="E135" t="s">
        <v>17</v>
      </c>
      <c r="F135" s="2">
        <v>4438</v>
      </c>
      <c r="G135" s="3">
        <v>246</v>
      </c>
      <c r="H135">
        <f>_xlfn.XLOOKUP(data[[#This Row],[Product]],products[Product],products[Cost per unit])</f>
        <v>3.11</v>
      </c>
      <c r="I135" s="29">
        <f>data[[#This Row],[Cost per Unit]]*data[[#This Row],[Units]]</f>
        <v>765.06</v>
      </c>
    </row>
    <row r="136" spans="3:9" x14ac:dyDescent="0.3">
      <c r="C136" t="s">
        <v>8</v>
      </c>
      <c r="D136" t="s">
        <v>38</v>
      </c>
      <c r="E136" t="s">
        <v>22</v>
      </c>
      <c r="F136" s="2">
        <v>168</v>
      </c>
      <c r="G136" s="3">
        <v>84</v>
      </c>
      <c r="H136">
        <f>_xlfn.XLOOKUP(data[[#This Row],[Product]],products[Product],products[Cost per unit])</f>
        <v>9.77</v>
      </c>
      <c r="I136" s="29">
        <f>data[[#This Row],[Cost per Unit]]*data[[#This Row],[Units]]</f>
        <v>820.68</v>
      </c>
    </row>
    <row r="137" spans="3:9" x14ac:dyDescent="0.3">
      <c r="C137" t="s">
        <v>7</v>
      </c>
      <c r="D137" t="s">
        <v>34</v>
      </c>
      <c r="E137" t="s">
        <v>17</v>
      </c>
      <c r="F137" s="2">
        <v>7777</v>
      </c>
      <c r="G137" s="3">
        <v>39</v>
      </c>
      <c r="H137">
        <f>_xlfn.XLOOKUP(data[[#This Row],[Product]],products[Product],products[Cost per unit])</f>
        <v>3.11</v>
      </c>
      <c r="I137" s="29">
        <f>data[[#This Row],[Cost per Unit]]*data[[#This Row],[Units]]</f>
        <v>121.28999999999999</v>
      </c>
    </row>
    <row r="138" spans="3:9" x14ac:dyDescent="0.3">
      <c r="C138" t="s">
        <v>5</v>
      </c>
      <c r="D138" t="s">
        <v>36</v>
      </c>
      <c r="E138" t="s">
        <v>17</v>
      </c>
      <c r="F138" s="2">
        <v>3339</v>
      </c>
      <c r="G138" s="3">
        <v>348</v>
      </c>
      <c r="H138">
        <f>_xlfn.XLOOKUP(data[[#This Row],[Product]],products[Product],products[Cost per unit])</f>
        <v>3.11</v>
      </c>
      <c r="I138" s="29">
        <f>data[[#This Row],[Cost per Unit]]*data[[#This Row],[Units]]</f>
        <v>1082.28</v>
      </c>
    </row>
    <row r="139" spans="3:9" x14ac:dyDescent="0.3">
      <c r="C139" t="s">
        <v>7</v>
      </c>
      <c r="D139" t="s">
        <v>37</v>
      </c>
      <c r="E139" t="s">
        <v>33</v>
      </c>
      <c r="F139" s="2">
        <v>6391</v>
      </c>
      <c r="G139" s="3">
        <v>48</v>
      </c>
      <c r="H139">
        <f>_xlfn.XLOOKUP(data[[#This Row],[Product]],products[Product],products[Cost per unit])</f>
        <v>12.37</v>
      </c>
      <c r="I139" s="29">
        <f>data[[#This Row],[Cost per Unit]]*data[[#This Row],[Units]]</f>
        <v>593.76</v>
      </c>
    </row>
    <row r="140" spans="3:9" x14ac:dyDescent="0.3">
      <c r="C140" t="s">
        <v>5</v>
      </c>
      <c r="D140" t="s">
        <v>37</v>
      </c>
      <c r="E140" t="s">
        <v>22</v>
      </c>
      <c r="F140" s="2">
        <v>518</v>
      </c>
      <c r="G140" s="3">
        <v>75</v>
      </c>
      <c r="H140">
        <f>_xlfn.XLOOKUP(data[[#This Row],[Product]],products[Product],products[Cost per unit])</f>
        <v>9.77</v>
      </c>
      <c r="I140" s="29">
        <f>data[[#This Row],[Cost per Unit]]*data[[#This Row],[Units]]</f>
        <v>732.75</v>
      </c>
    </row>
    <row r="141" spans="3:9" x14ac:dyDescent="0.3">
      <c r="C141" t="s">
        <v>7</v>
      </c>
      <c r="D141" t="s">
        <v>38</v>
      </c>
      <c r="E141" t="s">
        <v>28</v>
      </c>
      <c r="F141" s="2">
        <v>5677</v>
      </c>
      <c r="G141" s="3">
        <v>258</v>
      </c>
      <c r="H141">
        <f>_xlfn.XLOOKUP(data[[#This Row],[Product]],products[Product],products[Cost per unit])</f>
        <v>10.38</v>
      </c>
      <c r="I141" s="29">
        <f>data[[#This Row],[Cost per Unit]]*data[[#This Row],[Units]]</f>
        <v>2678.0400000000004</v>
      </c>
    </row>
    <row r="142" spans="3:9" x14ac:dyDescent="0.3">
      <c r="C142" t="s">
        <v>6</v>
      </c>
      <c r="D142" t="s">
        <v>39</v>
      </c>
      <c r="E142" t="s">
        <v>17</v>
      </c>
      <c r="F142" s="2">
        <v>6048</v>
      </c>
      <c r="G142" s="3">
        <v>27</v>
      </c>
      <c r="H142">
        <f>_xlfn.XLOOKUP(data[[#This Row],[Product]],products[Product],products[Cost per unit])</f>
        <v>3.11</v>
      </c>
      <c r="I142" s="29">
        <f>data[[#This Row],[Cost per Unit]]*data[[#This Row],[Units]]</f>
        <v>83.97</v>
      </c>
    </row>
    <row r="143" spans="3:9" x14ac:dyDescent="0.3">
      <c r="C143" t="s">
        <v>8</v>
      </c>
      <c r="D143" t="s">
        <v>38</v>
      </c>
      <c r="E143" t="s">
        <v>32</v>
      </c>
      <c r="F143" s="2">
        <v>3752</v>
      </c>
      <c r="G143" s="3">
        <v>213</v>
      </c>
      <c r="H143">
        <f>_xlfn.XLOOKUP(data[[#This Row],[Product]],products[Product],products[Cost per unit])</f>
        <v>8.65</v>
      </c>
      <c r="I143" s="29">
        <f>data[[#This Row],[Cost per Unit]]*data[[#This Row],[Units]]</f>
        <v>1842.45</v>
      </c>
    </row>
    <row r="144" spans="3:9" x14ac:dyDescent="0.3">
      <c r="C144" t="s">
        <v>5</v>
      </c>
      <c r="D144" t="s">
        <v>35</v>
      </c>
      <c r="E144" t="s">
        <v>29</v>
      </c>
      <c r="F144" s="2">
        <v>4480</v>
      </c>
      <c r="G144" s="3">
        <v>357</v>
      </c>
      <c r="H144">
        <f>_xlfn.XLOOKUP(data[[#This Row],[Product]],products[Product],products[Cost per unit])</f>
        <v>7.16</v>
      </c>
      <c r="I144" s="29">
        <f>data[[#This Row],[Cost per Unit]]*data[[#This Row],[Units]]</f>
        <v>2556.12</v>
      </c>
    </row>
    <row r="145" spans="3:9" x14ac:dyDescent="0.3">
      <c r="C145" t="s">
        <v>9</v>
      </c>
      <c r="D145" t="s">
        <v>37</v>
      </c>
      <c r="E145" t="s">
        <v>4</v>
      </c>
      <c r="F145" s="2">
        <v>259</v>
      </c>
      <c r="G145" s="3">
        <v>207</v>
      </c>
      <c r="H145">
        <f>_xlfn.XLOOKUP(data[[#This Row],[Product]],products[Product],products[Cost per unit])</f>
        <v>11.88</v>
      </c>
      <c r="I145" s="29">
        <f>data[[#This Row],[Cost per Unit]]*data[[#This Row],[Units]]</f>
        <v>2459.1600000000003</v>
      </c>
    </row>
    <row r="146" spans="3:9" x14ac:dyDescent="0.3">
      <c r="C146" t="s">
        <v>8</v>
      </c>
      <c r="D146" t="s">
        <v>37</v>
      </c>
      <c r="E146" t="s">
        <v>30</v>
      </c>
      <c r="F146" s="2">
        <v>42</v>
      </c>
      <c r="G146" s="3">
        <v>150</v>
      </c>
      <c r="H146">
        <f>_xlfn.XLOOKUP(data[[#This Row],[Product]],products[Product],products[Cost per unit])</f>
        <v>14.49</v>
      </c>
      <c r="I146" s="29">
        <f>data[[#This Row],[Cost per Unit]]*data[[#This Row],[Units]]</f>
        <v>2173.5</v>
      </c>
    </row>
    <row r="147" spans="3:9" x14ac:dyDescent="0.3">
      <c r="C147" t="s">
        <v>41</v>
      </c>
      <c r="D147" t="s">
        <v>36</v>
      </c>
      <c r="E147" t="s">
        <v>26</v>
      </c>
      <c r="F147" s="2">
        <v>98</v>
      </c>
      <c r="G147" s="3">
        <v>204</v>
      </c>
      <c r="H147">
        <f>_xlfn.XLOOKUP(data[[#This Row],[Product]],products[Product],products[Cost per unit])</f>
        <v>5.6</v>
      </c>
      <c r="I147" s="29">
        <f>data[[#This Row],[Cost per Unit]]*data[[#This Row],[Units]]</f>
        <v>1142.3999999999999</v>
      </c>
    </row>
    <row r="148" spans="3:9" x14ac:dyDescent="0.3">
      <c r="C148" t="s">
        <v>7</v>
      </c>
      <c r="D148" t="s">
        <v>35</v>
      </c>
      <c r="E148" t="s">
        <v>27</v>
      </c>
      <c r="F148" s="2">
        <v>2478</v>
      </c>
      <c r="G148" s="3">
        <v>21</v>
      </c>
      <c r="H148">
        <f>_xlfn.XLOOKUP(data[[#This Row],[Product]],products[Product],products[Cost per unit])</f>
        <v>16.73</v>
      </c>
      <c r="I148" s="29">
        <f>data[[#This Row],[Cost per Unit]]*data[[#This Row],[Units]]</f>
        <v>351.33</v>
      </c>
    </row>
    <row r="149" spans="3:9" x14ac:dyDescent="0.3">
      <c r="C149" t="s">
        <v>41</v>
      </c>
      <c r="D149" t="s">
        <v>34</v>
      </c>
      <c r="E149" t="s">
        <v>33</v>
      </c>
      <c r="F149" s="2">
        <v>7847</v>
      </c>
      <c r="G149" s="3">
        <v>174</v>
      </c>
      <c r="H149">
        <f>_xlfn.XLOOKUP(data[[#This Row],[Product]],products[Product],products[Cost per unit])</f>
        <v>12.37</v>
      </c>
      <c r="I149" s="29">
        <f>data[[#This Row],[Cost per Unit]]*data[[#This Row],[Units]]</f>
        <v>2152.3799999999997</v>
      </c>
    </row>
    <row r="150" spans="3:9" x14ac:dyDescent="0.3">
      <c r="C150" t="s">
        <v>2</v>
      </c>
      <c r="D150" t="s">
        <v>37</v>
      </c>
      <c r="E150" t="s">
        <v>17</v>
      </c>
      <c r="F150" s="2">
        <v>9926</v>
      </c>
      <c r="G150" s="3">
        <v>201</v>
      </c>
      <c r="H150">
        <f>_xlfn.XLOOKUP(data[[#This Row],[Product]],products[Product],products[Cost per unit])</f>
        <v>3.11</v>
      </c>
      <c r="I150" s="29">
        <f>data[[#This Row],[Cost per Unit]]*data[[#This Row],[Units]]</f>
        <v>625.11</v>
      </c>
    </row>
    <row r="151" spans="3:9" x14ac:dyDescent="0.3">
      <c r="C151" t="s">
        <v>8</v>
      </c>
      <c r="D151" t="s">
        <v>38</v>
      </c>
      <c r="E151" t="s">
        <v>13</v>
      </c>
      <c r="F151" s="2">
        <v>819</v>
      </c>
      <c r="G151" s="3">
        <v>510</v>
      </c>
      <c r="H151">
        <f>_xlfn.XLOOKUP(data[[#This Row],[Product]],products[Product],products[Cost per unit])</f>
        <v>9.33</v>
      </c>
      <c r="I151" s="29">
        <f>data[[#This Row],[Cost per Unit]]*data[[#This Row],[Units]]</f>
        <v>4758.3</v>
      </c>
    </row>
    <row r="152" spans="3:9" x14ac:dyDescent="0.3">
      <c r="C152" t="s">
        <v>6</v>
      </c>
      <c r="D152" t="s">
        <v>39</v>
      </c>
      <c r="E152" t="s">
        <v>29</v>
      </c>
      <c r="F152" s="2">
        <v>3052</v>
      </c>
      <c r="G152" s="3">
        <v>378</v>
      </c>
      <c r="H152">
        <f>_xlfn.XLOOKUP(data[[#This Row],[Product]],products[Product],products[Cost per unit])</f>
        <v>7.16</v>
      </c>
      <c r="I152" s="29">
        <f>data[[#This Row],[Cost per Unit]]*data[[#This Row],[Units]]</f>
        <v>2706.48</v>
      </c>
    </row>
    <row r="153" spans="3:9" x14ac:dyDescent="0.3">
      <c r="C153" t="s">
        <v>9</v>
      </c>
      <c r="D153" t="s">
        <v>34</v>
      </c>
      <c r="E153" t="s">
        <v>21</v>
      </c>
      <c r="F153" s="2">
        <v>6832</v>
      </c>
      <c r="G153" s="3">
        <v>27</v>
      </c>
      <c r="H153">
        <f>_xlfn.XLOOKUP(data[[#This Row],[Product]],products[Product],products[Cost per unit])</f>
        <v>9</v>
      </c>
      <c r="I153" s="29">
        <f>data[[#This Row],[Cost per Unit]]*data[[#This Row],[Units]]</f>
        <v>243</v>
      </c>
    </row>
    <row r="154" spans="3:9" x14ac:dyDescent="0.3">
      <c r="C154" t="s">
        <v>2</v>
      </c>
      <c r="D154" t="s">
        <v>39</v>
      </c>
      <c r="E154" t="s">
        <v>16</v>
      </c>
      <c r="F154" s="2">
        <v>2016</v>
      </c>
      <c r="G154" s="3">
        <v>117</v>
      </c>
      <c r="H154">
        <f>_xlfn.XLOOKUP(data[[#This Row],[Product]],products[Product],products[Cost per unit])</f>
        <v>8.7899999999999991</v>
      </c>
      <c r="I154" s="29">
        <f>data[[#This Row],[Cost per Unit]]*data[[#This Row],[Units]]</f>
        <v>1028.4299999999998</v>
      </c>
    </row>
    <row r="155" spans="3:9" x14ac:dyDescent="0.3">
      <c r="C155" t="s">
        <v>6</v>
      </c>
      <c r="D155" t="s">
        <v>38</v>
      </c>
      <c r="E155" t="s">
        <v>21</v>
      </c>
      <c r="F155" s="2">
        <v>7322</v>
      </c>
      <c r="G155" s="3">
        <v>36</v>
      </c>
      <c r="H155">
        <f>_xlfn.XLOOKUP(data[[#This Row],[Product]],products[Product],products[Cost per unit])</f>
        <v>9</v>
      </c>
      <c r="I155" s="29">
        <f>data[[#This Row],[Cost per Unit]]*data[[#This Row],[Units]]</f>
        <v>324</v>
      </c>
    </row>
    <row r="156" spans="3:9" x14ac:dyDescent="0.3">
      <c r="C156" t="s">
        <v>8</v>
      </c>
      <c r="D156" t="s">
        <v>35</v>
      </c>
      <c r="E156" t="s">
        <v>33</v>
      </c>
      <c r="F156" s="2">
        <v>357</v>
      </c>
      <c r="G156" s="3">
        <v>126</v>
      </c>
      <c r="H156">
        <f>_xlfn.XLOOKUP(data[[#This Row],[Product]],products[Product],products[Cost per unit])</f>
        <v>12.37</v>
      </c>
      <c r="I156" s="29">
        <f>data[[#This Row],[Cost per Unit]]*data[[#This Row],[Units]]</f>
        <v>1558.62</v>
      </c>
    </row>
    <row r="157" spans="3:9" x14ac:dyDescent="0.3">
      <c r="C157" t="s">
        <v>9</v>
      </c>
      <c r="D157" t="s">
        <v>39</v>
      </c>
      <c r="E157" t="s">
        <v>25</v>
      </c>
      <c r="F157" s="2">
        <v>3192</v>
      </c>
      <c r="G157" s="3">
        <v>72</v>
      </c>
      <c r="H157">
        <f>_xlfn.XLOOKUP(data[[#This Row],[Product]],products[Product],products[Cost per unit])</f>
        <v>13.15</v>
      </c>
      <c r="I157" s="29">
        <f>data[[#This Row],[Cost per Unit]]*data[[#This Row],[Units]]</f>
        <v>946.80000000000007</v>
      </c>
    </row>
    <row r="158" spans="3:9" x14ac:dyDescent="0.3">
      <c r="C158" t="s">
        <v>7</v>
      </c>
      <c r="D158" t="s">
        <v>36</v>
      </c>
      <c r="E158" t="s">
        <v>22</v>
      </c>
      <c r="F158" s="2">
        <v>8435</v>
      </c>
      <c r="G158" s="3">
        <v>42</v>
      </c>
      <c r="H158">
        <f>_xlfn.XLOOKUP(data[[#This Row],[Product]],products[Product],products[Cost per unit])</f>
        <v>9.77</v>
      </c>
      <c r="I158" s="29">
        <f>data[[#This Row],[Cost per Unit]]*data[[#This Row],[Units]]</f>
        <v>410.34</v>
      </c>
    </row>
    <row r="159" spans="3:9" x14ac:dyDescent="0.3">
      <c r="C159" t="s">
        <v>40</v>
      </c>
      <c r="D159" t="s">
        <v>39</v>
      </c>
      <c r="E159" t="s">
        <v>29</v>
      </c>
      <c r="F159" s="2">
        <v>0</v>
      </c>
      <c r="G159" s="3">
        <v>135</v>
      </c>
      <c r="H159">
        <f>_xlfn.XLOOKUP(data[[#This Row],[Product]],products[Product],products[Cost per unit])</f>
        <v>7.16</v>
      </c>
      <c r="I159" s="29">
        <f>data[[#This Row],[Cost per Unit]]*data[[#This Row],[Units]]</f>
        <v>966.6</v>
      </c>
    </row>
    <row r="160" spans="3:9" x14ac:dyDescent="0.3">
      <c r="C160" t="s">
        <v>7</v>
      </c>
      <c r="D160" t="s">
        <v>34</v>
      </c>
      <c r="E160" t="s">
        <v>24</v>
      </c>
      <c r="F160" s="2">
        <v>8862</v>
      </c>
      <c r="G160" s="3">
        <v>189</v>
      </c>
      <c r="H160">
        <f>_xlfn.XLOOKUP(data[[#This Row],[Product]],products[Product],products[Cost per unit])</f>
        <v>4.97</v>
      </c>
      <c r="I160" s="29">
        <f>data[[#This Row],[Cost per Unit]]*data[[#This Row],[Units]]</f>
        <v>939.32999999999993</v>
      </c>
    </row>
    <row r="161" spans="3:9" x14ac:dyDescent="0.3">
      <c r="C161" t="s">
        <v>6</v>
      </c>
      <c r="D161" t="s">
        <v>37</v>
      </c>
      <c r="E161" t="s">
        <v>28</v>
      </c>
      <c r="F161" s="2">
        <v>3556</v>
      </c>
      <c r="G161" s="3">
        <v>459</v>
      </c>
      <c r="H161">
        <f>_xlfn.XLOOKUP(data[[#This Row],[Product]],products[Product],products[Cost per unit])</f>
        <v>10.38</v>
      </c>
      <c r="I161" s="29">
        <f>data[[#This Row],[Cost per Unit]]*data[[#This Row],[Units]]</f>
        <v>4764.42</v>
      </c>
    </row>
    <row r="162" spans="3:9" x14ac:dyDescent="0.3">
      <c r="C162" t="s">
        <v>5</v>
      </c>
      <c r="D162" t="s">
        <v>34</v>
      </c>
      <c r="E162" t="s">
        <v>15</v>
      </c>
      <c r="F162" s="2">
        <v>7280</v>
      </c>
      <c r="G162" s="3">
        <v>201</v>
      </c>
      <c r="H162">
        <f>_xlfn.XLOOKUP(data[[#This Row],[Product]],products[Product],products[Cost per unit])</f>
        <v>11.73</v>
      </c>
      <c r="I162" s="29">
        <f>data[[#This Row],[Cost per Unit]]*data[[#This Row],[Units]]</f>
        <v>2357.73</v>
      </c>
    </row>
    <row r="163" spans="3:9" x14ac:dyDescent="0.3">
      <c r="C163" t="s">
        <v>6</v>
      </c>
      <c r="D163" t="s">
        <v>34</v>
      </c>
      <c r="E163" t="s">
        <v>30</v>
      </c>
      <c r="F163" s="2">
        <v>3402</v>
      </c>
      <c r="G163" s="3">
        <v>366</v>
      </c>
      <c r="H163">
        <f>_xlfn.XLOOKUP(data[[#This Row],[Product]],products[Product],products[Cost per unit])</f>
        <v>14.49</v>
      </c>
      <c r="I163" s="29">
        <f>data[[#This Row],[Cost per Unit]]*data[[#This Row],[Units]]</f>
        <v>5303.34</v>
      </c>
    </row>
    <row r="164" spans="3:9" x14ac:dyDescent="0.3">
      <c r="C164" t="s">
        <v>3</v>
      </c>
      <c r="D164" t="s">
        <v>37</v>
      </c>
      <c r="E164" t="s">
        <v>29</v>
      </c>
      <c r="F164" s="2">
        <v>4592</v>
      </c>
      <c r="G164" s="3">
        <v>324</v>
      </c>
      <c r="H164">
        <f>_xlfn.XLOOKUP(data[[#This Row],[Product]],products[Product],products[Cost per unit])</f>
        <v>7.16</v>
      </c>
      <c r="I164" s="29">
        <f>data[[#This Row],[Cost per Unit]]*data[[#This Row],[Units]]</f>
        <v>2319.84</v>
      </c>
    </row>
    <row r="165" spans="3:9" x14ac:dyDescent="0.3">
      <c r="C165" t="s">
        <v>9</v>
      </c>
      <c r="D165" t="s">
        <v>35</v>
      </c>
      <c r="E165" t="s">
        <v>15</v>
      </c>
      <c r="F165" s="2">
        <v>7833</v>
      </c>
      <c r="G165" s="3">
        <v>243</v>
      </c>
      <c r="H165">
        <f>_xlfn.XLOOKUP(data[[#This Row],[Product]],products[Product],products[Cost per unit])</f>
        <v>11.73</v>
      </c>
      <c r="I165" s="29">
        <f>data[[#This Row],[Cost per Unit]]*data[[#This Row],[Units]]</f>
        <v>2850.3900000000003</v>
      </c>
    </row>
    <row r="166" spans="3:9" x14ac:dyDescent="0.3">
      <c r="C166" t="s">
        <v>2</v>
      </c>
      <c r="D166" t="s">
        <v>39</v>
      </c>
      <c r="E166" t="s">
        <v>21</v>
      </c>
      <c r="F166" s="2">
        <v>7651</v>
      </c>
      <c r="G166" s="3">
        <v>213</v>
      </c>
      <c r="H166">
        <f>_xlfn.XLOOKUP(data[[#This Row],[Product]],products[Product],products[Cost per unit])</f>
        <v>9</v>
      </c>
      <c r="I166" s="29">
        <f>data[[#This Row],[Cost per Unit]]*data[[#This Row],[Units]]</f>
        <v>1917</v>
      </c>
    </row>
    <row r="167" spans="3:9" x14ac:dyDescent="0.3">
      <c r="C167" t="s">
        <v>40</v>
      </c>
      <c r="D167" t="s">
        <v>35</v>
      </c>
      <c r="E167" t="s">
        <v>30</v>
      </c>
      <c r="F167" s="2">
        <v>2275</v>
      </c>
      <c r="G167" s="3">
        <v>447</v>
      </c>
      <c r="H167">
        <f>_xlfn.XLOOKUP(data[[#This Row],[Product]],products[Product],products[Cost per unit])</f>
        <v>14.49</v>
      </c>
      <c r="I167" s="29">
        <f>data[[#This Row],[Cost per Unit]]*data[[#This Row],[Units]]</f>
        <v>6477.03</v>
      </c>
    </row>
    <row r="168" spans="3:9" x14ac:dyDescent="0.3">
      <c r="C168" t="s">
        <v>40</v>
      </c>
      <c r="D168" t="s">
        <v>38</v>
      </c>
      <c r="E168" t="s">
        <v>13</v>
      </c>
      <c r="F168" s="2">
        <v>5670</v>
      </c>
      <c r="G168" s="3">
        <v>297</v>
      </c>
      <c r="H168">
        <f>_xlfn.XLOOKUP(data[[#This Row],[Product]],products[Product],products[Cost per unit])</f>
        <v>9.33</v>
      </c>
      <c r="I168" s="29">
        <f>data[[#This Row],[Cost per Unit]]*data[[#This Row],[Units]]</f>
        <v>2771.01</v>
      </c>
    </row>
    <row r="169" spans="3:9" x14ac:dyDescent="0.3">
      <c r="C169" t="s">
        <v>7</v>
      </c>
      <c r="D169" t="s">
        <v>35</v>
      </c>
      <c r="E169" t="s">
        <v>16</v>
      </c>
      <c r="F169" s="2">
        <v>2135</v>
      </c>
      <c r="G169" s="3">
        <v>27</v>
      </c>
      <c r="H169">
        <f>_xlfn.XLOOKUP(data[[#This Row],[Product]],products[Product],products[Cost per unit])</f>
        <v>8.7899999999999991</v>
      </c>
      <c r="I169" s="29">
        <f>data[[#This Row],[Cost per Unit]]*data[[#This Row],[Units]]</f>
        <v>237.32999999999998</v>
      </c>
    </row>
    <row r="170" spans="3:9" x14ac:dyDescent="0.3">
      <c r="C170" t="s">
        <v>40</v>
      </c>
      <c r="D170" t="s">
        <v>34</v>
      </c>
      <c r="E170" t="s">
        <v>23</v>
      </c>
      <c r="F170" s="2">
        <v>2779</v>
      </c>
      <c r="G170" s="3">
        <v>75</v>
      </c>
      <c r="H170">
        <f>_xlfn.XLOOKUP(data[[#This Row],[Product]],products[Product],products[Cost per unit])</f>
        <v>6.49</v>
      </c>
      <c r="I170" s="29">
        <f>data[[#This Row],[Cost per Unit]]*data[[#This Row],[Units]]</f>
        <v>486.75</v>
      </c>
    </row>
    <row r="171" spans="3:9" x14ac:dyDescent="0.3">
      <c r="C171" t="s">
        <v>10</v>
      </c>
      <c r="D171" t="s">
        <v>39</v>
      </c>
      <c r="E171" t="s">
        <v>33</v>
      </c>
      <c r="F171" s="2">
        <v>12950</v>
      </c>
      <c r="G171" s="3">
        <v>30</v>
      </c>
      <c r="H171">
        <f>_xlfn.XLOOKUP(data[[#This Row],[Product]],products[Product],products[Cost per unit])</f>
        <v>12.37</v>
      </c>
      <c r="I171" s="29">
        <f>data[[#This Row],[Cost per Unit]]*data[[#This Row],[Units]]</f>
        <v>371.09999999999997</v>
      </c>
    </row>
    <row r="172" spans="3:9" x14ac:dyDescent="0.3">
      <c r="C172" t="s">
        <v>7</v>
      </c>
      <c r="D172" t="s">
        <v>36</v>
      </c>
      <c r="E172" t="s">
        <v>18</v>
      </c>
      <c r="F172" s="2">
        <v>2646</v>
      </c>
      <c r="G172" s="3">
        <v>177</v>
      </c>
      <c r="H172">
        <f>_xlfn.XLOOKUP(data[[#This Row],[Product]],products[Product],products[Cost per unit])</f>
        <v>6.47</v>
      </c>
      <c r="I172" s="29">
        <f>data[[#This Row],[Cost per Unit]]*data[[#This Row],[Units]]</f>
        <v>1145.19</v>
      </c>
    </row>
    <row r="173" spans="3:9" x14ac:dyDescent="0.3">
      <c r="C173" t="s">
        <v>40</v>
      </c>
      <c r="D173" t="s">
        <v>34</v>
      </c>
      <c r="E173" t="s">
        <v>33</v>
      </c>
      <c r="F173" s="2">
        <v>3794</v>
      </c>
      <c r="G173" s="3">
        <v>159</v>
      </c>
      <c r="H173">
        <f>_xlfn.XLOOKUP(data[[#This Row],[Product]],products[Product],products[Cost per unit])</f>
        <v>12.37</v>
      </c>
      <c r="I173" s="29">
        <f>data[[#This Row],[Cost per Unit]]*data[[#This Row],[Units]]</f>
        <v>1966.83</v>
      </c>
    </row>
    <row r="174" spans="3:9" x14ac:dyDescent="0.3">
      <c r="C174" t="s">
        <v>3</v>
      </c>
      <c r="D174" t="s">
        <v>35</v>
      </c>
      <c r="E174" t="s">
        <v>33</v>
      </c>
      <c r="F174" s="2">
        <v>819</v>
      </c>
      <c r="G174" s="3">
        <v>306</v>
      </c>
      <c r="H174">
        <f>_xlfn.XLOOKUP(data[[#This Row],[Product]],products[Product],products[Cost per unit])</f>
        <v>12.37</v>
      </c>
      <c r="I174" s="29">
        <f>data[[#This Row],[Cost per Unit]]*data[[#This Row],[Units]]</f>
        <v>3785.22</v>
      </c>
    </row>
    <row r="175" spans="3:9" x14ac:dyDescent="0.3">
      <c r="C175" t="s">
        <v>3</v>
      </c>
      <c r="D175" t="s">
        <v>34</v>
      </c>
      <c r="E175" t="s">
        <v>20</v>
      </c>
      <c r="F175" s="2">
        <v>2583</v>
      </c>
      <c r="G175" s="3">
        <v>18</v>
      </c>
      <c r="H175">
        <f>_xlfn.XLOOKUP(data[[#This Row],[Product]],products[Product],products[Cost per unit])</f>
        <v>10.62</v>
      </c>
      <c r="I175" s="29">
        <f>data[[#This Row],[Cost per Unit]]*data[[#This Row],[Units]]</f>
        <v>191.16</v>
      </c>
    </row>
    <row r="176" spans="3:9" x14ac:dyDescent="0.3">
      <c r="C176" t="s">
        <v>7</v>
      </c>
      <c r="D176" t="s">
        <v>35</v>
      </c>
      <c r="E176" t="s">
        <v>19</v>
      </c>
      <c r="F176" s="2">
        <v>4585</v>
      </c>
      <c r="G176" s="3">
        <v>240</v>
      </c>
      <c r="H176">
        <f>_xlfn.XLOOKUP(data[[#This Row],[Product]],products[Product],products[Cost per unit])</f>
        <v>7.64</v>
      </c>
      <c r="I176" s="29">
        <f>data[[#This Row],[Cost per Unit]]*data[[#This Row],[Units]]</f>
        <v>1833.6</v>
      </c>
    </row>
    <row r="177" spans="3:9" x14ac:dyDescent="0.3">
      <c r="C177" t="s">
        <v>5</v>
      </c>
      <c r="D177" t="s">
        <v>34</v>
      </c>
      <c r="E177" t="s">
        <v>33</v>
      </c>
      <c r="F177" s="2">
        <v>1652</v>
      </c>
      <c r="G177" s="3">
        <v>93</v>
      </c>
      <c r="H177">
        <f>_xlfn.XLOOKUP(data[[#This Row],[Product]],products[Product],products[Cost per unit])</f>
        <v>12.37</v>
      </c>
      <c r="I177" s="29">
        <f>data[[#This Row],[Cost per Unit]]*data[[#This Row],[Units]]</f>
        <v>1150.4099999999999</v>
      </c>
    </row>
    <row r="178" spans="3:9" x14ac:dyDescent="0.3">
      <c r="C178" t="s">
        <v>10</v>
      </c>
      <c r="D178" t="s">
        <v>34</v>
      </c>
      <c r="E178" t="s">
        <v>26</v>
      </c>
      <c r="F178" s="2">
        <v>4991</v>
      </c>
      <c r="G178" s="3">
        <v>9</v>
      </c>
      <c r="H178">
        <f>_xlfn.XLOOKUP(data[[#This Row],[Product]],products[Product],products[Cost per unit])</f>
        <v>5.6</v>
      </c>
      <c r="I178" s="29">
        <f>data[[#This Row],[Cost per Unit]]*data[[#This Row],[Units]]</f>
        <v>50.4</v>
      </c>
    </row>
    <row r="179" spans="3:9" x14ac:dyDescent="0.3">
      <c r="C179" t="s">
        <v>8</v>
      </c>
      <c r="D179" t="s">
        <v>34</v>
      </c>
      <c r="E179" t="s">
        <v>16</v>
      </c>
      <c r="F179" s="2">
        <v>2009</v>
      </c>
      <c r="G179" s="3">
        <v>219</v>
      </c>
      <c r="H179">
        <f>_xlfn.XLOOKUP(data[[#This Row],[Product]],products[Product],products[Cost per unit])</f>
        <v>8.7899999999999991</v>
      </c>
      <c r="I179" s="29">
        <f>data[[#This Row],[Cost per Unit]]*data[[#This Row],[Units]]</f>
        <v>1925.0099999999998</v>
      </c>
    </row>
    <row r="180" spans="3:9" x14ac:dyDescent="0.3">
      <c r="C180" t="s">
        <v>2</v>
      </c>
      <c r="D180" t="s">
        <v>39</v>
      </c>
      <c r="E180" t="s">
        <v>22</v>
      </c>
      <c r="F180" s="2">
        <v>1568</v>
      </c>
      <c r="G180" s="3">
        <v>141</v>
      </c>
      <c r="H180">
        <f>_xlfn.XLOOKUP(data[[#This Row],[Product]],products[Product],products[Cost per unit])</f>
        <v>9.77</v>
      </c>
      <c r="I180" s="29">
        <f>data[[#This Row],[Cost per Unit]]*data[[#This Row],[Units]]</f>
        <v>1377.57</v>
      </c>
    </row>
    <row r="181" spans="3:9" x14ac:dyDescent="0.3">
      <c r="C181" t="s">
        <v>41</v>
      </c>
      <c r="D181" t="s">
        <v>37</v>
      </c>
      <c r="E181" t="s">
        <v>20</v>
      </c>
      <c r="F181" s="2">
        <v>3388</v>
      </c>
      <c r="G181" s="3">
        <v>123</v>
      </c>
      <c r="H181">
        <f>_xlfn.XLOOKUP(data[[#This Row],[Product]],products[Product],products[Cost per unit])</f>
        <v>10.62</v>
      </c>
      <c r="I181" s="29">
        <f>data[[#This Row],[Cost per Unit]]*data[[#This Row],[Units]]</f>
        <v>1306.26</v>
      </c>
    </row>
    <row r="182" spans="3:9" x14ac:dyDescent="0.3">
      <c r="C182" t="s">
        <v>40</v>
      </c>
      <c r="D182" t="s">
        <v>38</v>
      </c>
      <c r="E182" t="s">
        <v>24</v>
      </c>
      <c r="F182" s="2">
        <v>623</v>
      </c>
      <c r="G182" s="3">
        <v>51</v>
      </c>
      <c r="H182">
        <f>_xlfn.XLOOKUP(data[[#This Row],[Product]],products[Product],products[Cost per unit])</f>
        <v>4.97</v>
      </c>
      <c r="I182" s="29">
        <f>data[[#This Row],[Cost per Unit]]*data[[#This Row],[Units]]</f>
        <v>253.47</v>
      </c>
    </row>
    <row r="183" spans="3:9" x14ac:dyDescent="0.3">
      <c r="C183" t="s">
        <v>6</v>
      </c>
      <c r="D183" t="s">
        <v>36</v>
      </c>
      <c r="E183" t="s">
        <v>4</v>
      </c>
      <c r="F183" s="2">
        <v>10073</v>
      </c>
      <c r="G183" s="3">
        <v>120</v>
      </c>
      <c r="H183">
        <f>_xlfn.XLOOKUP(data[[#This Row],[Product]],products[Product],products[Cost per unit])</f>
        <v>11.88</v>
      </c>
      <c r="I183" s="29">
        <f>data[[#This Row],[Cost per Unit]]*data[[#This Row],[Units]]</f>
        <v>1425.6000000000001</v>
      </c>
    </row>
    <row r="184" spans="3:9" x14ac:dyDescent="0.3">
      <c r="C184" t="s">
        <v>8</v>
      </c>
      <c r="D184" t="s">
        <v>39</v>
      </c>
      <c r="E184" t="s">
        <v>26</v>
      </c>
      <c r="F184" s="2">
        <v>1561</v>
      </c>
      <c r="G184" s="3">
        <v>27</v>
      </c>
      <c r="H184">
        <f>_xlfn.XLOOKUP(data[[#This Row],[Product]],products[Product],products[Cost per unit])</f>
        <v>5.6</v>
      </c>
      <c r="I184" s="29">
        <f>data[[#This Row],[Cost per Unit]]*data[[#This Row],[Units]]</f>
        <v>151.19999999999999</v>
      </c>
    </row>
    <row r="185" spans="3:9" x14ac:dyDescent="0.3">
      <c r="C185" t="s">
        <v>9</v>
      </c>
      <c r="D185" t="s">
        <v>36</v>
      </c>
      <c r="E185" t="s">
        <v>27</v>
      </c>
      <c r="F185" s="2">
        <v>11522</v>
      </c>
      <c r="G185" s="3">
        <v>204</v>
      </c>
      <c r="H185">
        <f>_xlfn.XLOOKUP(data[[#This Row],[Product]],products[Product],products[Cost per unit])</f>
        <v>16.73</v>
      </c>
      <c r="I185" s="29">
        <f>data[[#This Row],[Cost per Unit]]*data[[#This Row],[Units]]</f>
        <v>3412.92</v>
      </c>
    </row>
    <row r="186" spans="3:9" x14ac:dyDescent="0.3">
      <c r="C186" t="s">
        <v>6</v>
      </c>
      <c r="D186" t="s">
        <v>38</v>
      </c>
      <c r="E186" t="s">
        <v>13</v>
      </c>
      <c r="F186" s="2">
        <v>2317</v>
      </c>
      <c r="G186" s="3">
        <v>123</v>
      </c>
      <c r="H186">
        <f>_xlfn.XLOOKUP(data[[#This Row],[Product]],products[Product],products[Cost per unit])</f>
        <v>9.33</v>
      </c>
      <c r="I186" s="29">
        <f>data[[#This Row],[Cost per Unit]]*data[[#This Row],[Units]]</f>
        <v>1147.5899999999999</v>
      </c>
    </row>
    <row r="187" spans="3:9" x14ac:dyDescent="0.3">
      <c r="C187" t="s">
        <v>10</v>
      </c>
      <c r="D187" t="s">
        <v>37</v>
      </c>
      <c r="E187" t="s">
        <v>28</v>
      </c>
      <c r="F187" s="2">
        <v>3059</v>
      </c>
      <c r="G187" s="3">
        <v>27</v>
      </c>
      <c r="H187">
        <f>_xlfn.XLOOKUP(data[[#This Row],[Product]],products[Product],products[Cost per unit])</f>
        <v>10.38</v>
      </c>
      <c r="I187" s="29">
        <f>data[[#This Row],[Cost per Unit]]*data[[#This Row],[Units]]</f>
        <v>280.26000000000005</v>
      </c>
    </row>
    <row r="188" spans="3:9" x14ac:dyDescent="0.3">
      <c r="C188" t="s">
        <v>41</v>
      </c>
      <c r="D188" t="s">
        <v>37</v>
      </c>
      <c r="E188" t="s">
        <v>26</v>
      </c>
      <c r="F188" s="2">
        <v>2324</v>
      </c>
      <c r="G188" s="3">
        <v>177</v>
      </c>
      <c r="H188">
        <f>_xlfn.XLOOKUP(data[[#This Row],[Product]],products[Product],products[Cost per unit])</f>
        <v>5.6</v>
      </c>
      <c r="I188" s="29">
        <f>data[[#This Row],[Cost per Unit]]*data[[#This Row],[Units]]</f>
        <v>991.19999999999993</v>
      </c>
    </row>
    <row r="189" spans="3:9" x14ac:dyDescent="0.3">
      <c r="C189" t="s">
        <v>3</v>
      </c>
      <c r="D189" t="s">
        <v>39</v>
      </c>
      <c r="E189" t="s">
        <v>26</v>
      </c>
      <c r="F189" s="2">
        <v>4956</v>
      </c>
      <c r="G189" s="3">
        <v>171</v>
      </c>
      <c r="H189">
        <f>_xlfn.XLOOKUP(data[[#This Row],[Product]],products[Product],products[Cost per unit])</f>
        <v>5.6</v>
      </c>
      <c r="I189" s="29">
        <f>data[[#This Row],[Cost per Unit]]*data[[#This Row],[Units]]</f>
        <v>957.59999999999991</v>
      </c>
    </row>
    <row r="190" spans="3:9" x14ac:dyDescent="0.3">
      <c r="C190" t="s">
        <v>10</v>
      </c>
      <c r="D190" t="s">
        <v>34</v>
      </c>
      <c r="E190" t="s">
        <v>19</v>
      </c>
      <c r="F190" s="2">
        <v>5355</v>
      </c>
      <c r="G190" s="3">
        <v>204</v>
      </c>
      <c r="H190">
        <f>_xlfn.XLOOKUP(data[[#This Row],[Product]],products[Product],products[Cost per unit])</f>
        <v>7.64</v>
      </c>
      <c r="I190" s="29">
        <f>data[[#This Row],[Cost per Unit]]*data[[#This Row],[Units]]</f>
        <v>1558.56</v>
      </c>
    </row>
    <row r="191" spans="3:9" x14ac:dyDescent="0.3">
      <c r="C191" t="s">
        <v>3</v>
      </c>
      <c r="D191" t="s">
        <v>34</v>
      </c>
      <c r="E191" t="s">
        <v>14</v>
      </c>
      <c r="F191" s="2">
        <v>7259</v>
      </c>
      <c r="G191" s="3">
        <v>276</v>
      </c>
      <c r="H191">
        <f>_xlfn.XLOOKUP(data[[#This Row],[Product]],products[Product],products[Cost per unit])</f>
        <v>11.7</v>
      </c>
      <c r="I191" s="29">
        <f>data[[#This Row],[Cost per Unit]]*data[[#This Row],[Units]]</f>
        <v>3229.2</v>
      </c>
    </row>
    <row r="192" spans="3:9" x14ac:dyDescent="0.3">
      <c r="C192" t="s">
        <v>8</v>
      </c>
      <c r="D192" t="s">
        <v>37</v>
      </c>
      <c r="E192" t="s">
        <v>26</v>
      </c>
      <c r="F192" s="2">
        <v>6279</v>
      </c>
      <c r="G192" s="3">
        <v>45</v>
      </c>
      <c r="H192">
        <f>_xlfn.XLOOKUP(data[[#This Row],[Product]],products[Product],products[Cost per unit])</f>
        <v>5.6</v>
      </c>
      <c r="I192" s="29">
        <f>data[[#This Row],[Cost per Unit]]*data[[#This Row],[Units]]</f>
        <v>251.99999999999997</v>
      </c>
    </row>
    <row r="193" spans="3:9" x14ac:dyDescent="0.3">
      <c r="C193" t="s">
        <v>40</v>
      </c>
      <c r="D193" t="s">
        <v>38</v>
      </c>
      <c r="E193" t="s">
        <v>29</v>
      </c>
      <c r="F193" s="2">
        <v>2541</v>
      </c>
      <c r="G193" s="3">
        <v>45</v>
      </c>
      <c r="H193">
        <f>_xlfn.XLOOKUP(data[[#This Row],[Product]],products[Product],products[Cost per unit])</f>
        <v>7.16</v>
      </c>
      <c r="I193" s="29">
        <f>data[[#This Row],[Cost per Unit]]*data[[#This Row],[Units]]</f>
        <v>322.2</v>
      </c>
    </row>
    <row r="194" spans="3:9" x14ac:dyDescent="0.3">
      <c r="C194" t="s">
        <v>6</v>
      </c>
      <c r="D194" t="s">
        <v>35</v>
      </c>
      <c r="E194" t="s">
        <v>27</v>
      </c>
      <c r="F194" s="2">
        <v>3864</v>
      </c>
      <c r="G194" s="3">
        <v>177</v>
      </c>
      <c r="H194">
        <f>_xlfn.XLOOKUP(data[[#This Row],[Product]],products[Product],products[Cost per unit])</f>
        <v>16.73</v>
      </c>
      <c r="I194" s="29">
        <f>data[[#This Row],[Cost per Unit]]*data[[#This Row],[Units]]</f>
        <v>2961.21</v>
      </c>
    </row>
    <row r="195" spans="3:9" x14ac:dyDescent="0.3">
      <c r="C195" t="s">
        <v>5</v>
      </c>
      <c r="D195" t="s">
        <v>36</v>
      </c>
      <c r="E195" t="s">
        <v>13</v>
      </c>
      <c r="F195" s="2">
        <v>6146</v>
      </c>
      <c r="G195" s="3">
        <v>63</v>
      </c>
      <c r="H195">
        <f>_xlfn.XLOOKUP(data[[#This Row],[Product]],products[Product],products[Cost per unit])</f>
        <v>9.33</v>
      </c>
      <c r="I195" s="29">
        <f>data[[#This Row],[Cost per Unit]]*data[[#This Row],[Units]]</f>
        <v>587.79</v>
      </c>
    </row>
    <row r="196" spans="3:9" x14ac:dyDescent="0.3">
      <c r="C196" t="s">
        <v>9</v>
      </c>
      <c r="D196" t="s">
        <v>39</v>
      </c>
      <c r="E196" t="s">
        <v>18</v>
      </c>
      <c r="F196" s="2">
        <v>2639</v>
      </c>
      <c r="G196" s="3">
        <v>204</v>
      </c>
      <c r="H196">
        <f>_xlfn.XLOOKUP(data[[#This Row],[Product]],products[Product],products[Cost per unit])</f>
        <v>6.47</v>
      </c>
      <c r="I196" s="29">
        <f>data[[#This Row],[Cost per Unit]]*data[[#This Row],[Units]]</f>
        <v>1319.8799999999999</v>
      </c>
    </row>
    <row r="197" spans="3:9" x14ac:dyDescent="0.3">
      <c r="C197" t="s">
        <v>8</v>
      </c>
      <c r="D197" t="s">
        <v>37</v>
      </c>
      <c r="E197" t="s">
        <v>22</v>
      </c>
      <c r="F197" s="2">
        <v>1890</v>
      </c>
      <c r="G197" s="3">
        <v>195</v>
      </c>
      <c r="H197">
        <f>_xlfn.XLOOKUP(data[[#This Row],[Product]],products[Product],products[Cost per unit])</f>
        <v>9.77</v>
      </c>
      <c r="I197" s="29">
        <f>data[[#This Row],[Cost per Unit]]*data[[#This Row],[Units]]</f>
        <v>1905.1499999999999</v>
      </c>
    </row>
    <row r="198" spans="3:9" x14ac:dyDescent="0.3">
      <c r="C198" t="s">
        <v>7</v>
      </c>
      <c r="D198" t="s">
        <v>34</v>
      </c>
      <c r="E198" t="s">
        <v>14</v>
      </c>
      <c r="F198" s="2">
        <v>1932</v>
      </c>
      <c r="G198" s="3">
        <v>369</v>
      </c>
      <c r="H198">
        <f>_xlfn.XLOOKUP(data[[#This Row],[Product]],products[Product],products[Cost per unit])</f>
        <v>11.7</v>
      </c>
      <c r="I198" s="29">
        <f>data[[#This Row],[Cost per Unit]]*data[[#This Row],[Units]]</f>
        <v>4317.3</v>
      </c>
    </row>
    <row r="199" spans="3:9" x14ac:dyDescent="0.3">
      <c r="C199" t="s">
        <v>3</v>
      </c>
      <c r="D199" t="s">
        <v>34</v>
      </c>
      <c r="E199" t="s">
        <v>25</v>
      </c>
      <c r="F199" s="2">
        <v>6300</v>
      </c>
      <c r="G199" s="3">
        <v>42</v>
      </c>
      <c r="H199">
        <f>_xlfn.XLOOKUP(data[[#This Row],[Product]],products[Product],products[Cost per unit])</f>
        <v>13.15</v>
      </c>
      <c r="I199" s="29">
        <f>data[[#This Row],[Cost per Unit]]*data[[#This Row],[Units]]</f>
        <v>552.30000000000007</v>
      </c>
    </row>
    <row r="200" spans="3:9" x14ac:dyDescent="0.3">
      <c r="C200" t="s">
        <v>6</v>
      </c>
      <c r="D200" t="s">
        <v>37</v>
      </c>
      <c r="E200" t="s">
        <v>30</v>
      </c>
      <c r="F200" s="2">
        <v>560</v>
      </c>
      <c r="G200" s="3">
        <v>81</v>
      </c>
      <c r="H200">
        <f>_xlfn.XLOOKUP(data[[#This Row],[Product]],products[Product],products[Cost per unit])</f>
        <v>14.49</v>
      </c>
      <c r="I200" s="29">
        <f>data[[#This Row],[Cost per Unit]]*data[[#This Row],[Units]]</f>
        <v>1173.69</v>
      </c>
    </row>
    <row r="201" spans="3:9" x14ac:dyDescent="0.3">
      <c r="C201" t="s">
        <v>9</v>
      </c>
      <c r="D201" t="s">
        <v>37</v>
      </c>
      <c r="E201" t="s">
        <v>26</v>
      </c>
      <c r="F201" s="2">
        <v>2856</v>
      </c>
      <c r="G201" s="3">
        <v>246</v>
      </c>
      <c r="H201">
        <f>_xlfn.XLOOKUP(data[[#This Row],[Product]],products[Product],products[Cost per unit])</f>
        <v>5.6</v>
      </c>
      <c r="I201" s="29">
        <f>data[[#This Row],[Cost per Unit]]*data[[#This Row],[Units]]</f>
        <v>1377.6</v>
      </c>
    </row>
    <row r="202" spans="3:9" x14ac:dyDescent="0.3">
      <c r="C202" t="s">
        <v>9</v>
      </c>
      <c r="D202" t="s">
        <v>34</v>
      </c>
      <c r="E202" t="s">
        <v>17</v>
      </c>
      <c r="F202" s="2">
        <v>707</v>
      </c>
      <c r="G202" s="3">
        <v>174</v>
      </c>
      <c r="H202">
        <f>_xlfn.XLOOKUP(data[[#This Row],[Product]],products[Product],products[Cost per unit])</f>
        <v>3.11</v>
      </c>
      <c r="I202" s="29">
        <f>data[[#This Row],[Cost per Unit]]*data[[#This Row],[Units]]</f>
        <v>541.14</v>
      </c>
    </row>
    <row r="203" spans="3:9" x14ac:dyDescent="0.3">
      <c r="C203" t="s">
        <v>8</v>
      </c>
      <c r="D203" t="s">
        <v>35</v>
      </c>
      <c r="E203" t="s">
        <v>30</v>
      </c>
      <c r="F203" s="2">
        <v>3598</v>
      </c>
      <c r="G203" s="3">
        <v>81</v>
      </c>
      <c r="H203">
        <f>_xlfn.XLOOKUP(data[[#This Row],[Product]],products[Product],products[Cost per unit])</f>
        <v>14.49</v>
      </c>
      <c r="I203" s="29">
        <f>data[[#This Row],[Cost per Unit]]*data[[#This Row],[Units]]</f>
        <v>1173.69</v>
      </c>
    </row>
    <row r="204" spans="3:9" x14ac:dyDescent="0.3">
      <c r="C204" t="s">
        <v>40</v>
      </c>
      <c r="D204" t="s">
        <v>35</v>
      </c>
      <c r="E204" t="s">
        <v>22</v>
      </c>
      <c r="F204" s="2">
        <v>6853</v>
      </c>
      <c r="G204" s="3">
        <v>372</v>
      </c>
      <c r="H204">
        <f>_xlfn.XLOOKUP(data[[#This Row],[Product]],products[Product],products[Cost per unit])</f>
        <v>9.77</v>
      </c>
      <c r="I204" s="29">
        <f>data[[#This Row],[Cost per Unit]]*data[[#This Row],[Units]]</f>
        <v>3634.44</v>
      </c>
    </row>
    <row r="205" spans="3:9" x14ac:dyDescent="0.3">
      <c r="C205" t="s">
        <v>40</v>
      </c>
      <c r="D205" t="s">
        <v>35</v>
      </c>
      <c r="E205" t="s">
        <v>16</v>
      </c>
      <c r="F205" s="2">
        <v>4725</v>
      </c>
      <c r="G205" s="3">
        <v>174</v>
      </c>
      <c r="H205">
        <f>_xlfn.XLOOKUP(data[[#This Row],[Product]],products[Product],products[Cost per unit])</f>
        <v>8.7899999999999991</v>
      </c>
      <c r="I205" s="29">
        <f>data[[#This Row],[Cost per Unit]]*data[[#This Row],[Units]]</f>
        <v>1529.4599999999998</v>
      </c>
    </row>
    <row r="206" spans="3:9" x14ac:dyDescent="0.3">
      <c r="C206" t="s">
        <v>41</v>
      </c>
      <c r="D206" t="s">
        <v>36</v>
      </c>
      <c r="E206" t="s">
        <v>32</v>
      </c>
      <c r="F206" s="2">
        <v>10304</v>
      </c>
      <c r="G206" s="3">
        <v>84</v>
      </c>
      <c r="H206">
        <f>_xlfn.XLOOKUP(data[[#This Row],[Product]],products[Product],products[Cost per unit])</f>
        <v>8.65</v>
      </c>
      <c r="I206" s="29">
        <f>data[[#This Row],[Cost per Unit]]*data[[#This Row],[Units]]</f>
        <v>726.6</v>
      </c>
    </row>
    <row r="207" spans="3:9" x14ac:dyDescent="0.3">
      <c r="C207" t="s">
        <v>41</v>
      </c>
      <c r="D207" t="s">
        <v>34</v>
      </c>
      <c r="E207" t="s">
        <v>16</v>
      </c>
      <c r="F207" s="2">
        <v>1274</v>
      </c>
      <c r="G207" s="3">
        <v>225</v>
      </c>
      <c r="H207">
        <f>_xlfn.XLOOKUP(data[[#This Row],[Product]],products[Product],products[Cost per unit])</f>
        <v>8.7899999999999991</v>
      </c>
      <c r="I207" s="29">
        <f>data[[#This Row],[Cost per Unit]]*data[[#This Row],[Units]]</f>
        <v>1977.7499999999998</v>
      </c>
    </row>
    <row r="208" spans="3:9" x14ac:dyDescent="0.3">
      <c r="C208" t="s">
        <v>5</v>
      </c>
      <c r="D208" t="s">
        <v>36</v>
      </c>
      <c r="E208" t="s">
        <v>30</v>
      </c>
      <c r="F208" s="2">
        <v>1526</v>
      </c>
      <c r="G208" s="3">
        <v>105</v>
      </c>
      <c r="H208">
        <f>_xlfn.XLOOKUP(data[[#This Row],[Product]],products[Product],products[Cost per unit])</f>
        <v>14.49</v>
      </c>
      <c r="I208" s="29">
        <f>data[[#This Row],[Cost per Unit]]*data[[#This Row],[Units]]</f>
        <v>1521.45</v>
      </c>
    </row>
    <row r="209" spans="3:9" x14ac:dyDescent="0.3">
      <c r="C209" t="s">
        <v>40</v>
      </c>
      <c r="D209" t="s">
        <v>39</v>
      </c>
      <c r="E209" t="s">
        <v>28</v>
      </c>
      <c r="F209" s="2">
        <v>3101</v>
      </c>
      <c r="G209" s="3">
        <v>225</v>
      </c>
      <c r="H209">
        <f>_xlfn.XLOOKUP(data[[#This Row],[Product]],products[Product],products[Cost per unit])</f>
        <v>10.38</v>
      </c>
      <c r="I209" s="29">
        <f>data[[#This Row],[Cost per Unit]]*data[[#This Row],[Units]]</f>
        <v>2335.5</v>
      </c>
    </row>
    <row r="210" spans="3:9" x14ac:dyDescent="0.3">
      <c r="C210" t="s">
        <v>2</v>
      </c>
      <c r="D210" t="s">
        <v>37</v>
      </c>
      <c r="E210" t="s">
        <v>14</v>
      </c>
      <c r="F210" s="2">
        <v>1057</v>
      </c>
      <c r="G210" s="3">
        <v>54</v>
      </c>
      <c r="H210">
        <f>_xlfn.XLOOKUP(data[[#This Row],[Product]],products[Product],products[Cost per unit])</f>
        <v>11.7</v>
      </c>
      <c r="I210" s="29">
        <f>data[[#This Row],[Cost per Unit]]*data[[#This Row],[Units]]</f>
        <v>631.79999999999995</v>
      </c>
    </row>
    <row r="211" spans="3:9" x14ac:dyDescent="0.3">
      <c r="C211" t="s">
        <v>7</v>
      </c>
      <c r="D211" t="s">
        <v>37</v>
      </c>
      <c r="E211" t="s">
        <v>26</v>
      </c>
      <c r="F211" s="2">
        <v>5306</v>
      </c>
      <c r="G211" s="3">
        <v>0</v>
      </c>
      <c r="H211">
        <f>_xlfn.XLOOKUP(data[[#This Row],[Product]],products[Product],products[Cost per unit])</f>
        <v>5.6</v>
      </c>
      <c r="I211" s="29">
        <f>data[[#This Row],[Cost per Unit]]*data[[#This Row],[Units]]</f>
        <v>0</v>
      </c>
    </row>
    <row r="212" spans="3:9" x14ac:dyDescent="0.3">
      <c r="C212" t="s">
        <v>5</v>
      </c>
      <c r="D212" t="s">
        <v>39</v>
      </c>
      <c r="E212" t="s">
        <v>24</v>
      </c>
      <c r="F212" s="2">
        <v>4018</v>
      </c>
      <c r="G212" s="3">
        <v>171</v>
      </c>
      <c r="H212">
        <f>_xlfn.XLOOKUP(data[[#This Row],[Product]],products[Product],products[Cost per unit])</f>
        <v>4.97</v>
      </c>
      <c r="I212" s="29">
        <f>data[[#This Row],[Cost per Unit]]*data[[#This Row],[Units]]</f>
        <v>849.87</v>
      </c>
    </row>
    <row r="213" spans="3:9" x14ac:dyDescent="0.3">
      <c r="C213" t="s">
        <v>9</v>
      </c>
      <c r="D213" t="s">
        <v>34</v>
      </c>
      <c r="E213" t="s">
        <v>16</v>
      </c>
      <c r="F213" s="2">
        <v>938</v>
      </c>
      <c r="G213" s="3">
        <v>189</v>
      </c>
      <c r="H213">
        <f>_xlfn.XLOOKUP(data[[#This Row],[Product]],products[Product],products[Cost per unit])</f>
        <v>8.7899999999999991</v>
      </c>
      <c r="I213" s="29">
        <f>data[[#This Row],[Cost per Unit]]*data[[#This Row],[Units]]</f>
        <v>1661.31</v>
      </c>
    </row>
    <row r="214" spans="3:9" x14ac:dyDescent="0.3">
      <c r="C214" t="s">
        <v>7</v>
      </c>
      <c r="D214" t="s">
        <v>38</v>
      </c>
      <c r="E214" t="s">
        <v>18</v>
      </c>
      <c r="F214" s="2">
        <v>1778</v>
      </c>
      <c r="G214" s="3">
        <v>270</v>
      </c>
      <c r="H214">
        <f>_xlfn.XLOOKUP(data[[#This Row],[Product]],products[Product],products[Cost per unit])</f>
        <v>6.47</v>
      </c>
      <c r="I214" s="29">
        <f>data[[#This Row],[Cost per Unit]]*data[[#This Row],[Units]]</f>
        <v>1746.8999999999999</v>
      </c>
    </row>
    <row r="215" spans="3:9" x14ac:dyDescent="0.3">
      <c r="C215" t="s">
        <v>6</v>
      </c>
      <c r="D215" t="s">
        <v>39</v>
      </c>
      <c r="E215" t="s">
        <v>30</v>
      </c>
      <c r="F215" s="2">
        <v>1638</v>
      </c>
      <c r="G215" s="3">
        <v>63</v>
      </c>
      <c r="H215">
        <f>_xlfn.XLOOKUP(data[[#This Row],[Product]],products[Product],products[Cost per unit])</f>
        <v>14.49</v>
      </c>
      <c r="I215" s="29">
        <f>data[[#This Row],[Cost per Unit]]*data[[#This Row],[Units]]</f>
        <v>912.87</v>
      </c>
    </row>
    <row r="216" spans="3:9" x14ac:dyDescent="0.3">
      <c r="C216" t="s">
        <v>41</v>
      </c>
      <c r="D216" t="s">
        <v>38</v>
      </c>
      <c r="E216" t="s">
        <v>25</v>
      </c>
      <c r="F216" s="2">
        <v>154</v>
      </c>
      <c r="G216" s="3">
        <v>21</v>
      </c>
      <c r="H216">
        <f>_xlfn.XLOOKUP(data[[#This Row],[Product]],products[Product],products[Cost per unit])</f>
        <v>13.15</v>
      </c>
      <c r="I216" s="29">
        <f>data[[#This Row],[Cost per Unit]]*data[[#This Row],[Units]]</f>
        <v>276.15000000000003</v>
      </c>
    </row>
    <row r="217" spans="3:9" x14ac:dyDescent="0.3">
      <c r="C217" t="s">
        <v>7</v>
      </c>
      <c r="D217" t="s">
        <v>37</v>
      </c>
      <c r="E217" t="s">
        <v>22</v>
      </c>
      <c r="F217" s="2">
        <v>9835</v>
      </c>
      <c r="G217" s="3">
        <v>207</v>
      </c>
      <c r="H217">
        <f>_xlfn.XLOOKUP(data[[#This Row],[Product]],products[Product],products[Cost per unit])</f>
        <v>9.77</v>
      </c>
      <c r="I217" s="29">
        <f>data[[#This Row],[Cost per Unit]]*data[[#This Row],[Units]]</f>
        <v>2022.3899999999999</v>
      </c>
    </row>
    <row r="218" spans="3:9" x14ac:dyDescent="0.3">
      <c r="C218" t="s">
        <v>9</v>
      </c>
      <c r="D218" t="s">
        <v>37</v>
      </c>
      <c r="E218" t="s">
        <v>20</v>
      </c>
      <c r="F218" s="2">
        <v>7273</v>
      </c>
      <c r="G218" s="3">
        <v>96</v>
      </c>
      <c r="H218">
        <f>_xlfn.XLOOKUP(data[[#This Row],[Product]],products[Product],products[Cost per unit])</f>
        <v>10.62</v>
      </c>
      <c r="I218" s="29">
        <f>data[[#This Row],[Cost per Unit]]*data[[#This Row],[Units]]</f>
        <v>1019.52</v>
      </c>
    </row>
    <row r="219" spans="3:9" x14ac:dyDescent="0.3">
      <c r="C219" t="s">
        <v>5</v>
      </c>
      <c r="D219" t="s">
        <v>39</v>
      </c>
      <c r="E219" t="s">
        <v>22</v>
      </c>
      <c r="F219" s="2">
        <v>6909</v>
      </c>
      <c r="G219" s="3">
        <v>81</v>
      </c>
      <c r="H219">
        <f>_xlfn.XLOOKUP(data[[#This Row],[Product]],products[Product],products[Cost per unit])</f>
        <v>9.77</v>
      </c>
      <c r="I219" s="29">
        <f>data[[#This Row],[Cost per Unit]]*data[[#This Row],[Units]]</f>
        <v>791.37</v>
      </c>
    </row>
    <row r="220" spans="3:9" x14ac:dyDescent="0.3">
      <c r="C220" t="s">
        <v>9</v>
      </c>
      <c r="D220" t="s">
        <v>39</v>
      </c>
      <c r="E220" t="s">
        <v>24</v>
      </c>
      <c r="F220" s="2">
        <v>3920</v>
      </c>
      <c r="G220" s="3">
        <v>306</v>
      </c>
      <c r="H220">
        <f>_xlfn.XLOOKUP(data[[#This Row],[Product]],products[Product],products[Cost per unit])</f>
        <v>4.97</v>
      </c>
      <c r="I220" s="29">
        <f>data[[#This Row],[Cost per Unit]]*data[[#This Row],[Units]]</f>
        <v>1520.82</v>
      </c>
    </row>
    <row r="221" spans="3:9" x14ac:dyDescent="0.3">
      <c r="C221" t="s">
        <v>10</v>
      </c>
      <c r="D221" t="s">
        <v>39</v>
      </c>
      <c r="E221" t="s">
        <v>21</v>
      </c>
      <c r="F221" s="2">
        <v>4858</v>
      </c>
      <c r="G221" s="3">
        <v>279</v>
      </c>
      <c r="H221">
        <f>_xlfn.XLOOKUP(data[[#This Row],[Product]],products[Product],products[Cost per unit])</f>
        <v>9</v>
      </c>
      <c r="I221" s="29">
        <f>data[[#This Row],[Cost per Unit]]*data[[#This Row],[Units]]</f>
        <v>2511</v>
      </c>
    </row>
    <row r="222" spans="3:9" x14ac:dyDescent="0.3">
      <c r="C222" t="s">
        <v>2</v>
      </c>
      <c r="D222" t="s">
        <v>38</v>
      </c>
      <c r="E222" t="s">
        <v>4</v>
      </c>
      <c r="F222" s="2">
        <v>3549</v>
      </c>
      <c r="G222" s="3">
        <v>3</v>
      </c>
      <c r="H222">
        <f>_xlfn.XLOOKUP(data[[#This Row],[Product]],products[Product],products[Cost per unit])</f>
        <v>11.88</v>
      </c>
      <c r="I222" s="29">
        <f>data[[#This Row],[Cost per Unit]]*data[[#This Row],[Units]]</f>
        <v>35.64</v>
      </c>
    </row>
    <row r="223" spans="3:9" x14ac:dyDescent="0.3">
      <c r="C223" t="s">
        <v>7</v>
      </c>
      <c r="D223" t="s">
        <v>39</v>
      </c>
      <c r="E223" t="s">
        <v>27</v>
      </c>
      <c r="F223" s="2">
        <v>966</v>
      </c>
      <c r="G223" s="3">
        <v>198</v>
      </c>
      <c r="H223">
        <f>_xlfn.XLOOKUP(data[[#This Row],[Product]],products[Product],products[Cost per unit])</f>
        <v>16.73</v>
      </c>
      <c r="I223" s="29">
        <f>data[[#This Row],[Cost per Unit]]*data[[#This Row],[Units]]</f>
        <v>3312.54</v>
      </c>
    </row>
    <row r="224" spans="3:9" x14ac:dyDescent="0.3">
      <c r="C224" t="s">
        <v>5</v>
      </c>
      <c r="D224" t="s">
        <v>39</v>
      </c>
      <c r="E224" t="s">
        <v>18</v>
      </c>
      <c r="F224" s="2">
        <v>385</v>
      </c>
      <c r="G224" s="3">
        <v>249</v>
      </c>
      <c r="H224">
        <f>_xlfn.XLOOKUP(data[[#This Row],[Product]],products[Product],products[Cost per unit])</f>
        <v>6.47</v>
      </c>
      <c r="I224" s="29">
        <f>data[[#This Row],[Cost per Unit]]*data[[#This Row],[Units]]</f>
        <v>1611.03</v>
      </c>
    </row>
    <row r="225" spans="3:9" x14ac:dyDescent="0.3">
      <c r="C225" t="s">
        <v>6</v>
      </c>
      <c r="D225" t="s">
        <v>34</v>
      </c>
      <c r="E225" t="s">
        <v>16</v>
      </c>
      <c r="F225" s="2">
        <v>2219</v>
      </c>
      <c r="G225" s="3">
        <v>75</v>
      </c>
      <c r="H225">
        <f>_xlfn.XLOOKUP(data[[#This Row],[Product]],products[Product],products[Cost per unit])</f>
        <v>8.7899999999999991</v>
      </c>
      <c r="I225" s="29">
        <f>data[[#This Row],[Cost per Unit]]*data[[#This Row],[Units]]</f>
        <v>659.24999999999989</v>
      </c>
    </row>
    <row r="226" spans="3:9" x14ac:dyDescent="0.3">
      <c r="C226" t="s">
        <v>9</v>
      </c>
      <c r="D226" t="s">
        <v>36</v>
      </c>
      <c r="E226" t="s">
        <v>32</v>
      </c>
      <c r="F226" s="2">
        <v>2954</v>
      </c>
      <c r="G226" s="3">
        <v>189</v>
      </c>
      <c r="H226">
        <f>_xlfn.XLOOKUP(data[[#This Row],[Product]],products[Product],products[Cost per unit])</f>
        <v>8.65</v>
      </c>
      <c r="I226" s="29">
        <f>data[[#This Row],[Cost per Unit]]*data[[#This Row],[Units]]</f>
        <v>1634.8500000000001</v>
      </c>
    </row>
    <row r="227" spans="3:9" x14ac:dyDescent="0.3">
      <c r="C227" t="s">
        <v>7</v>
      </c>
      <c r="D227" t="s">
        <v>36</v>
      </c>
      <c r="E227" t="s">
        <v>32</v>
      </c>
      <c r="F227" s="2">
        <v>280</v>
      </c>
      <c r="G227" s="3">
        <v>87</v>
      </c>
      <c r="H227">
        <f>_xlfn.XLOOKUP(data[[#This Row],[Product]],products[Product],products[Cost per unit])</f>
        <v>8.65</v>
      </c>
      <c r="I227" s="29">
        <f>data[[#This Row],[Cost per Unit]]*data[[#This Row],[Units]]</f>
        <v>752.55000000000007</v>
      </c>
    </row>
    <row r="228" spans="3:9" x14ac:dyDescent="0.3">
      <c r="C228" t="s">
        <v>41</v>
      </c>
      <c r="D228" t="s">
        <v>36</v>
      </c>
      <c r="E228" t="s">
        <v>30</v>
      </c>
      <c r="F228" s="2">
        <v>6118</v>
      </c>
      <c r="G228" s="3">
        <v>174</v>
      </c>
      <c r="H228">
        <f>_xlfn.XLOOKUP(data[[#This Row],[Product]],products[Product],products[Cost per unit])</f>
        <v>14.49</v>
      </c>
      <c r="I228" s="29">
        <f>data[[#This Row],[Cost per Unit]]*data[[#This Row],[Units]]</f>
        <v>2521.2600000000002</v>
      </c>
    </row>
    <row r="229" spans="3:9" x14ac:dyDescent="0.3">
      <c r="C229" t="s">
        <v>2</v>
      </c>
      <c r="D229" t="s">
        <v>39</v>
      </c>
      <c r="E229" t="s">
        <v>15</v>
      </c>
      <c r="F229" s="2">
        <v>4802</v>
      </c>
      <c r="G229" s="3">
        <v>36</v>
      </c>
      <c r="H229">
        <f>_xlfn.XLOOKUP(data[[#This Row],[Product]],products[Product],products[Cost per unit])</f>
        <v>11.73</v>
      </c>
      <c r="I229" s="29">
        <f>data[[#This Row],[Cost per Unit]]*data[[#This Row],[Units]]</f>
        <v>422.28000000000003</v>
      </c>
    </row>
    <row r="230" spans="3:9" x14ac:dyDescent="0.3">
      <c r="C230" t="s">
        <v>9</v>
      </c>
      <c r="D230" t="s">
        <v>38</v>
      </c>
      <c r="E230" t="s">
        <v>24</v>
      </c>
      <c r="F230" s="2">
        <v>4137</v>
      </c>
      <c r="G230" s="3">
        <v>60</v>
      </c>
      <c r="H230">
        <f>_xlfn.XLOOKUP(data[[#This Row],[Product]],products[Product],products[Cost per unit])</f>
        <v>4.97</v>
      </c>
      <c r="I230" s="29">
        <f>data[[#This Row],[Cost per Unit]]*data[[#This Row],[Units]]</f>
        <v>298.2</v>
      </c>
    </row>
    <row r="231" spans="3:9" x14ac:dyDescent="0.3">
      <c r="C231" t="s">
        <v>3</v>
      </c>
      <c r="D231" t="s">
        <v>35</v>
      </c>
      <c r="E231" t="s">
        <v>23</v>
      </c>
      <c r="F231" s="2">
        <v>2023</v>
      </c>
      <c r="G231" s="3">
        <v>78</v>
      </c>
      <c r="H231">
        <f>_xlfn.XLOOKUP(data[[#This Row],[Product]],products[Product],products[Cost per unit])</f>
        <v>6.49</v>
      </c>
      <c r="I231" s="29">
        <f>data[[#This Row],[Cost per Unit]]*data[[#This Row],[Units]]</f>
        <v>506.22</v>
      </c>
    </row>
    <row r="232" spans="3:9" x14ac:dyDescent="0.3">
      <c r="C232" t="s">
        <v>9</v>
      </c>
      <c r="D232" t="s">
        <v>36</v>
      </c>
      <c r="E232" t="s">
        <v>30</v>
      </c>
      <c r="F232" s="2">
        <v>9051</v>
      </c>
      <c r="G232" s="3">
        <v>57</v>
      </c>
      <c r="H232">
        <f>_xlfn.XLOOKUP(data[[#This Row],[Product]],products[Product],products[Cost per unit])</f>
        <v>14.49</v>
      </c>
      <c r="I232" s="29">
        <f>data[[#This Row],[Cost per Unit]]*data[[#This Row],[Units]]</f>
        <v>825.93000000000006</v>
      </c>
    </row>
    <row r="233" spans="3:9" x14ac:dyDescent="0.3">
      <c r="C233" t="s">
        <v>9</v>
      </c>
      <c r="D233" t="s">
        <v>37</v>
      </c>
      <c r="E233" t="s">
        <v>28</v>
      </c>
      <c r="F233" s="2">
        <v>2919</v>
      </c>
      <c r="G233" s="3">
        <v>45</v>
      </c>
      <c r="H233">
        <f>_xlfn.XLOOKUP(data[[#This Row],[Product]],products[Product],products[Cost per unit])</f>
        <v>10.38</v>
      </c>
      <c r="I233" s="29">
        <f>data[[#This Row],[Cost per Unit]]*data[[#This Row],[Units]]</f>
        <v>467.1</v>
      </c>
    </row>
    <row r="234" spans="3:9" x14ac:dyDescent="0.3">
      <c r="C234" t="s">
        <v>41</v>
      </c>
      <c r="D234" t="s">
        <v>38</v>
      </c>
      <c r="E234" t="s">
        <v>22</v>
      </c>
      <c r="F234" s="2">
        <v>5915</v>
      </c>
      <c r="G234" s="3">
        <v>3</v>
      </c>
      <c r="H234">
        <f>_xlfn.XLOOKUP(data[[#This Row],[Product]],products[Product],products[Cost per unit])</f>
        <v>9.77</v>
      </c>
      <c r="I234" s="29">
        <f>data[[#This Row],[Cost per Unit]]*data[[#This Row],[Units]]</f>
        <v>29.31</v>
      </c>
    </row>
    <row r="235" spans="3:9" x14ac:dyDescent="0.3">
      <c r="C235" t="s">
        <v>10</v>
      </c>
      <c r="D235" t="s">
        <v>35</v>
      </c>
      <c r="E235" t="s">
        <v>15</v>
      </c>
      <c r="F235" s="2">
        <v>2562</v>
      </c>
      <c r="G235" s="3">
        <v>6</v>
      </c>
      <c r="H235">
        <f>_xlfn.XLOOKUP(data[[#This Row],[Product]],products[Product],products[Cost per unit])</f>
        <v>11.73</v>
      </c>
      <c r="I235" s="29">
        <f>data[[#This Row],[Cost per Unit]]*data[[#This Row],[Units]]</f>
        <v>70.38</v>
      </c>
    </row>
    <row r="236" spans="3:9" x14ac:dyDescent="0.3">
      <c r="C236" t="s">
        <v>5</v>
      </c>
      <c r="D236" t="s">
        <v>37</v>
      </c>
      <c r="E236" t="s">
        <v>25</v>
      </c>
      <c r="F236" s="2">
        <v>8813</v>
      </c>
      <c r="G236" s="3">
        <v>21</v>
      </c>
      <c r="H236">
        <f>_xlfn.XLOOKUP(data[[#This Row],[Product]],products[Product],products[Cost per unit])</f>
        <v>13.15</v>
      </c>
      <c r="I236" s="29">
        <f>data[[#This Row],[Cost per Unit]]*data[[#This Row],[Units]]</f>
        <v>276.15000000000003</v>
      </c>
    </row>
    <row r="237" spans="3:9" x14ac:dyDescent="0.3">
      <c r="C237" t="s">
        <v>5</v>
      </c>
      <c r="D237" t="s">
        <v>36</v>
      </c>
      <c r="E237" t="s">
        <v>18</v>
      </c>
      <c r="F237" s="2">
        <v>6111</v>
      </c>
      <c r="G237" s="3">
        <v>3</v>
      </c>
      <c r="H237">
        <f>_xlfn.XLOOKUP(data[[#This Row],[Product]],products[Product],products[Cost per unit])</f>
        <v>6.47</v>
      </c>
      <c r="I237" s="29">
        <f>data[[#This Row],[Cost per Unit]]*data[[#This Row],[Units]]</f>
        <v>19.41</v>
      </c>
    </row>
    <row r="238" spans="3:9" x14ac:dyDescent="0.3">
      <c r="C238" t="s">
        <v>8</v>
      </c>
      <c r="D238" t="s">
        <v>34</v>
      </c>
      <c r="E238" t="s">
        <v>31</v>
      </c>
      <c r="F238" s="2">
        <v>3507</v>
      </c>
      <c r="G238" s="3">
        <v>288</v>
      </c>
      <c r="H238">
        <f>_xlfn.XLOOKUP(data[[#This Row],[Product]],products[Product],products[Cost per unit])</f>
        <v>5.79</v>
      </c>
      <c r="I238" s="29">
        <f>data[[#This Row],[Cost per Unit]]*data[[#This Row],[Units]]</f>
        <v>1667.52</v>
      </c>
    </row>
    <row r="239" spans="3:9" x14ac:dyDescent="0.3">
      <c r="C239" t="s">
        <v>6</v>
      </c>
      <c r="D239" t="s">
        <v>36</v>
      </c>
      <c r="E239" t="s">
        <v>13</v>
      </c>
      <c r="F239" s="2">
        <v>4319</v>
      </c>
      <c r="G239" s="3">
        <v>30</v>
      </c>
      <c r="H239">
        <f>_xlfn.XLOOKUP(data[[#This Row],[Product]],products[Product],products[Cost per unit])</f>
        <v>9.33</v>
      </c>
      <c r="I239" s="29">
        <f>data[[#This Row],[Cost per Unit]]*data[[#This Row],[Units]]</f>
        <v>279.89999999999998</v>
      </c>
    </row>
    <row r="240" spans="3:9" x14ac:dyDescent="0.3">
      <c r="C240" t="s">
        <v>40</v>
      </c>
      <c r="D240" t="s">
        <v>38</v>
      </c>
      <c r="E240" t="s">
        <v>26</v>
      </c>
      <c r="F240" s="2">
        <v>609</v>
      </c>
      <c r="G240" s="3">
        <v>87</v>
      </c>
      <c r="H240">
        <f>_xlfn.XLOOKUP(data[[#This Row],[Product]],products[Product],products[Cost per unit])</f>
        <v>5.6</v>
      </c>
      <c r="I240" s="29">
        <f>data[[#This Row],[Cost per Unit]]*data[[#This Row],[Units]]</f>
        <v>487.2</v>
      </c>
    </row>
    <row r="241" spans="3:9" x14ac:dyDescent="0.3">
      <c r="C241" t="s">
        <v>40</v>
      </c>
      <c r="D241" t="s">
        <v>39</v>
      </c>
      <c r="E241" t="s">
        <v>27</v>
      </c>
      <c r="F241" s="2">
        <v>6370</v>
      </c>
      <c r="G241" s="3">
        <v>30</v>
      </c>
      <c r="H241">
        <f>_xlfn.XLOOKUP(data[[#This Row],[Product]],products[Product],products[Cost per unit])</f>
        <v>16.73</v>
      </c>
      <c r="I241" s="29">
        <f>data[[#This Row],[Cost per Unit]]*data[[#This Row],[Units]]</f>
        <v>501.90000000000003</v>
      </c>
    </row>
    <row r="242" spans="3:9" x14ac:dyDescent="0.3">
      <c r="C242" t="s">
        <v>5</v>
      </c>
      <c r="D242" t="s">
        <v>38</v>
      </c>
      <c r="E242" t="s">
        <v>19</v>
      </c>
      <c r="F242" s="2">
        <v>5474</v>
      </c>
      <c r="G242" s="3">
        <v>168</v>
      </c>
      <c r="H242">
        <f>_xlfn.XLOOKUP(data[[#This Row],[Product]],products[Product],products[Cost per unit])</f>
        <v>7.64</v>
      </c>
      <c r="I242" s="29">
        <f>data[[#This Row],[Cost per Unit]]*data[[#This Row],[Units]]</f>
        <v>1283.52</v>
      </c>
    </row>
    <row r="243" spans="3:9" x14ac:dyDescent="0.3">
      <c r="C243" t="s">
        <v>40</v>
      </c>
      <c r="D243" t="s">
        <v>36</v>
      </c>
      <c r="E243" t="s">
        <v>27</v>
      </c>
      <c r="F243" s="2">
        <v>3164</v>
      </c>
      <c r="G243" s="3">
        <v>306</v>
      </c>
      <c r="H243">
        <f>_xlfn.XLOOKUP(data[[#This Row],[Product]],products[Product],products[Cost per unit])</f>
        <v>16.73</v>
      </c>
      <c r="I243" s="29">
        <f>data[[#This Row],[Cost per Unit]]*data[[#This Row],[Units]]</f>
        <v>5119.38</v>
      </c>
    </row>
    <row r="244" spans="3:9" x14ac:dyDescent="0.3">
      <c r="C244" t="s">
        <v>6</v>
      </c>
      <c r="D244" t="s">
        <v>35</v>
      </c>
      <c r="E244" t="s">
        <v>4</v>
      </c>
      <c r="F244" s="2">
        <v>1302</v>
      </c>
      <c r="G244" s="3">
        <v>402</v>
      </c>
      <c r="H244">
        <f>_xlfn.XLOOKUP(data[[#This Row],[Product]],products[Product],products[Cost per unit])</f>
        <v>11.88</v>
      </c>
      <c r="I244" s="29">
        <f>data[[#This Row],[Cost per Unit]]*data[[#This Row],[Units]]</f>
        <v>4775.76</v>
      </c>
    </row>
    <row r="245" spans="3:9" x14ac:dyDescent="0.3">
      <c r="C245" t="s">
        <v>3</v>
      </c>
      <c r="D245" t="s">
        <v>37</v>
      </c>
      <c r="E245" t="s">
        <v>28</v>
      </c>
      <c r="F245" s="2">
        <v>7308</v>
      </c>
      <c r="G245" s="3">
        <v>327</v>
      </c>
      <c r="H245">
        <f>_xlfn.XLOOKUP(data[[#This Row],[Product]],products[Product],products[Cost per unit])</f>
        <v>10.38</v>
      </c>
      <c r="I245" s="29">
        <f>data[[#This Row],[Cost per Unit]]*data[[#This Row],[Units]]</f>
        <v>3394.26</v>
      </c>
    </row>
    <row r="246" spans="3:9" x14ac:dyDescent="0.3">
      <c r="C246" t="s">
        <v>40</v>
      </c>
      <c r="D246" t="s">
        <v>37</v>
      </c>
      <c r="E246" t="s">
        <v>27</v>
      </c>
      <c r="F246" s="2">
        <v>6132</v>
      </c>
      <c r="G246" s="3">
        <v>93</v>
      </c>
      <c r="H246">
        <f>_xlfn.XLOOKUP(data[[#This Row],[Product]],products[Product],products[Cost per unit])</f>
        <v>16.73</v>
      </c>
      <c r="I246" s="29">
        <f>data[[#This Row],[Cost per Unit]]*data[[#This Row],[Units]]</f>
        <v>1555.89</v>
      </c>
    </row>
    <row r="247" spans="3:9" x14ac:dyDescent="0.3">
      <c r="C247" t="s">
        <v>10</v>
      </c>
      <c r="D247" t="s">
        <v>35</v>
      </c>
      <c r="E247" t="s">
        <v>14</v>
      </c>
      <c r="F247" s="2">
        <v>3472</v>
      </c>
      <c r="G247" s="3">
        <v>96</v>
      </c>
      <c r="H247">
        <f>_xlfn.XLOOKUP(data[[#This Row],[Product]],products[Product],products[Cost per unit])</f>
        <v>11.7</v>
      </c>
      <c r="I247" s="29">
        <f>data[[#This Row],[Cost per Unit]]*data[[#This Row],[Units]]</f>
        <v>1123.1999999999998</v>
      </c>
    </row>
    <row r="248" spans="3:9" x14ac:dyDescent="0.3">
      <c r="C248" t="s">
        <v>8</v>
      </c>
      <c r="D248" t="s">
        <v>39</v>
      </c>
      <c r="E248" t="s">
        <v>18</v>
      </c>
      <c r="F248" s="2">
        <v>9660</v>
      </c>
      <c r="G248" s="3">
        <v>27</v>
      </c>
      <c r="H248">
        <f>_xlfn.XLOOKUP(data[[#This Row],[Product]],products[Product],products[Cost per unit])</f>
        <v>6.47</v>
      </c>
      <c r="I248" s="29">
        <f>data[[#This Row],[Cost per Unit]]*data[[#This Row],[Units]]</f>
        <v>174.69</v>
      </c>
    </row>
    <row r="249" spans="3:9" x14ac:dyDescent="0.3">
      <c r="C249" t="s">
        <v>9</v>
      </c>
      <c r="D249" t="s">
        <v>38</v>
      </c>
      <c r="E249" t="s">
        <v>26</v>
      </c>
      <c r="F249" s="2">
        <v>2436</v>
      </c>
      <c r="G249" s="3">
        <v>99</v>
      </c>
      <c r="H249">
        <f>_xlfn.XLOOKUP(data[[#This Row],[Product]],products[Product],products[Cost per unit])</f>
        <v>5.6</v>
      </c>
      <c r="I249" s="29">
        <f>data[[#This Row],[Cost per Unit]]*data[[#This Row],[Units]]</f>
        <v>554.4</v>
      </c>
    </row>
    <row r="250" spans="3:9" x14ac:dyDescent="0.3">
      <c r="C250" t="s">
        <v>9</v>
      </c>
      <c r="D250" t="s">
        <v>38</v>
      </c>
      <c r="E250" t="s">
        <v>33</v>
      </c>
      <c r="F250" s="2">
        <v>9506</v>
      </c>
      <c r="G250" s="3">
        <v>87</v>
      </c>
      <c r="H250">
        <f>_xlfn.XLOOKUP(data[[#This Row],[Product]],products[Product],products[Cost per unit])</f>
        <v>12.37</v>
      </c>
      <c r="I250" s="29">
        <f>data[[#This Row],[Cost per Unit]]*data[[#This Row],[Units]]</f>
        <v>1076.1899999999998</v>
      </c>
    </row>
    <row r="251" spans="3:9" x14ac:dyDescent="0.3">
      <c r="C251" t="s">
        <v>10</v>
      </c>
      <c r="D251" t="s">
        <v>37</v>
      </c>
      <c r="E251" t="s">
        <v>21</v>
      </c>
      <c r="F251" s="2">
        <v>245</v>
      </c>
      <c r="G251" s="3">
        <v>288</v>
      </c>
      <c r="H251">
        <f>_xlfn.XLOOKUP(data[[#This Row],[Product]],products[Product],products[Cost per unit])</f>
        <v>9</v>
      </c>
      <c r="I251" s="29">
        <f>data[[#This Row],[Cost per Unit]]*data[[#This Row],[Units]]</f>
        <v>2592</v>
      </c>
    </row>
    <row r="252" spans="3:9" x14ac:dyDescent="0.3">
      <c r="C252" t="s">
        <v>8</v>
      </c>
      <c r="D252" t="s">
        <v>35</v>
      </c>
      <c r="E252" t="s">
        <v>20</v>
      </c>
      <c r="F252" s="2">
        <v>2702</v>
      </c>
      <c r="G252" s="3">
        <v>363</v>
      </c>
      <c r="H252">
        <f>_xlfn.XLOOKUP(data[[#This Row],[Product]],products[Product],products[Cost per unit])</f>
        <v>10.62</v>
      </c>
      <c r="I252" s="29">
        <f>data[[#This Row],[Cost per Unit]]*data[[#This Row],[Units]]</f>
        <v>3855.0599999999995</v>
      </c>
    </row>
    <row r="253" spans="3:9" x14ac:dyDescent="0.3">
      <c r="C253" t="s">
        <v>10</v>
      </c>
      <c r="D253" t="s">
        <v>34</v>
      </c>
      <c r="E253" t="s">
        <v>17</v>
      </c>
      <c r="F253" s="2">
        <v>700</v>
      </c>
      <c r="G253" s="3">
        <v>87</v>
      </c>
      <c r="H253">
        <f>_xlfn.XLOOKUP(data[[#This Row],[Product]],products[Product],products[Cost per unit])</f>
        <v>3.11</v>
      </c>
      <c r="I253" s="29">
        <f>data[[#This Row],[Cost per Unit]]*data[[#This Row],[Units]]</f>
        <v>270.57</v>
      </c>
    </row>
    <row r="254" spans="3:9" x14ac:dyDescent="0.3">
      <c r="C254" t="s">
        <v>6</v>
      </c>
      <c r="D254" t="s">
        <v>34</v>
      </c>
      <c r="E254" t="s">
        <v>17</v>
      </c>
      <c r="F254" s="2">
        <v>3759</v>
      </c>
      <c r="G254" s="3">
        <v>150</v>
      </c>
      <c r="H254">
        <f>_xlfn.XLOOKUP(data[[#This Row],[Product]],products[Product],products[Cost per unit])</f>
        <v>3.11</v>
      </c>
      <c r="I254" s="29">
        <f>data[[#This Row],[Cost per Unit]]*data[[#This Row],[Units]]</f>
        <v>466.5</v>
      </c>
    </row>
    <row r="255" spans="3:9" x14ac:dyDescent="0.3">
      <c r="C255" t="s">
        <v>2</v>
      </c>
      <c r="D255" t="s">
        <v>35</v>
      </c>
      <c r="E255" t="s">
        <v>17</v>
      </c>
      <c r="F255" s="2">
        <v>1589</v>
      </c>
      <c r="G255" s="3">
        <v>303</v>
      </c>
      <c r="H255">
        <f>_xlfn.XLOOKUP(data[[#This Row],[Product]],products[Product],products[Cost per unit])</f>
        <v>3.11</v>
      </c>
      <c r="I255" s="29">
        <f>data[[#This Row],[Cost per Unit]]*data[[#This Row],[Units]]</f>
        <v>942.32999999999993</v>
      </c>
    </row>
    <row r="256" spans="3:9" x14ac:dyDescent="0.3">
      <c r="C256" t="s">
        <v>7</v>
      </c>
      <c r="D256" t="s">
        <v>35</v>
      </c>
      <c r="E256" t="s">
        <v>28</v>
      </c>
      <c r="F256" s="2">
        <v>5194</v>
      </c>
      <c r="G256" s="3">
        <v>288</v>
      </c>
      <c r="H256">
        <f>_xlfn.XLOOKUP(data[[#This Row],[Product]],products[Product],products[Cost per unit])</f>
        <v>10.38</v>
      </c>
      <c r="I256" s="29">
        <f>data[[#This Row],[Cost per Unit]]*data[[#This Row],[Units]]</f>
        <v>2989.44</v>
      </c>
    </row>
    <row r="257" spans="3:9" x14ac:dyDescent="0.3">
      <c r="C257" t="s">
        <v>10</v>
      </c>
      <c r="D257" t="s">
        <v>36</v>
      </c>
      <c r="E257" t="s">
        <v>13</v>
      </c>
      <c r="F257" s="2">
        <v>945</v>
      </c>
      <c r="G257" s="3">
        <v>75</v>
      </c>
      <c r="H257">
        <f>_xlfn.XLOOKUP(data[[#This Row],[Product]],products[Product],products[Cost per unit])</f>
        <v>9.33</v>
      </c>
      <c r="I257" s="29">
        <f>data[[#This Row],[Cost per Unit]]*data[[#This Row],[Units]]</f>
        <v>699.75</v>
      </c>
    </row>
    <row r="258" spans="3:9" x14ac:dyDescent="0.3">
      <c r="C258" t="s">
        <v>40</v>
      </c>
      <c r="D258" t="s">
        <v>38</v>
      </c>
      <c r="E258" t="s">
        <v>31</v>
      </c>
      <c r="F258" s="2">
        <v>1988</v>
      </c>
      <c r="G258" s="3">
        <v>39</v>
      </c>
      <c r="H258">
        <f>_xlfn.XLOOKUP(data[[#This Row],[Product]],products[Product],products[Cost per unit])</f>
        <v>5.79</v>
      </c>
      <c r="I258" s="29">
        <f>data[[#This Row],[Cost per Unit]]*data[[#This Row],[Units]]</f>
        <v>225.81</v>
      </c>
    </row>
    <row r="259" spans="3:9" x14ac:dyDescent="0.3">
      <c r="C259" t="s">
        <v>6</v>
      </c>
      <c r="D259" t="s">
        <v>34</v>
      </c>
      <c r="E259" t="s">
        <v>32</v>
      </c>
      <c r="F259" s="2">
        <v>6734</v>
      </c>
      <c r="G259" s="3">
        <v>123</v>
      </c>
      <c r="H259">
        <f>_xlfn.XLOOKUP(data[[#This Row],[Product]],products[Product],products[Cost per unit])</f>
        <v>8.65</v>
      </c>
      <c r="I259" s="29">
        <f>data[[#This Row],[Cost per Unit]]*data[[#This Row],[Units]]</f>
        <v>1063.95</v>
      </c>
    </row>
    <row r="260" spans="3:9" x14ac:dyDescent="0.3">
      <c r="C260" t="s">
        <v>40</v>
      </c>
      <c r="D260" t="s">
        <v>36</v>
      </c>
      <c r="E260" t="s">
        <v>4</v>
      </c>
      <c r="F260" s="2">
        <v>217</v>
      </c>
      <c r="G260" s="3">
        <v>36</v>
      </c>
      <c r="H260">
        <f>_xlfn.XLOOKUP(data[[#This Row],[Product]],products[Product],products[Cost per unit])</f>
        <v>11.88</v>
      </c>
      <c r="I260" s="29">
        <f>data[[#This Row],[Cost per Unit]]*data[[#This Row],[Units]]</f>
        <v>427.68</v>
      </c>
    </row>
    <row r="261" spans="3:9" x14ac:dyDescent="0.3">
      <c r="C261" t="s">
        <v>5</v>
      </c>
      <c r="D261" t="s">
        <v>34</v>
      </c>
      <c r="E261" t="s">
        <v>22</v>
      </c>
      <c r="F261" s="2">
        <v>6279</v>
      </c>
      <c r="G261" s="3">
        <v>237</v>
      </c>
      <c r="H261">
        <f>_xlfn.XLOOKUP(data[[#This Row],[Product]],products[Product],products[Cost per unit])</f>
        <v>9.77</v>
      </c>
      <c r="I261" s="29">
        <f>data[[#This Row],[Cost per Unit]]*data[[#This Row],[Units]]</f>
        <v>2315.4899999999998</v>
      </c>
    </row>
    <row r="262" spans="3:9" x14ac:dyDescent="0.3">
      <c r="C262" t="s">
        <v>40</v>
      </c>
      <c r="D262" t="s">
        <v>36</v>
      </c>
      <c r="E262" t="s">
        <v>13</v>
      </c>
      <c r="F262" s="2">
        <v>4424</v>
      </c>
      <c r="G262" s="3">
        <v>201</v>
      </c>
      <c r="H262">
        <f>_xlfn.XLOOKUP(data[[#This Row],[Product]],products[Product],products[Cost per unit])</f>
        <v>9.33</v>
      </c>
      <c r="I262" s="29">
        <f>data[[#This Row],[Cost per Unit]]*data[[#This Row],[Units]]</f>
        <v>1875.33</v>
      </c>
    </row>
    <row r="263" spans="3:9" x14ac:dyDescent="0.3">
      <c r="C263" t="s">
        <v>2</v>
      </c>
      <c r="D263" t="s">
        <v>36</v>
      </c>
      <c r="E263" t="s">
        <v>17</v>
      </c>
      <c r="F263" s="2">
        <v>189</v>
      </c>
      <c r="G263" s="3">
        <v>48</v>
      </c>
      <c r="H263">
        <f>_xlfn.XLOOKUP(data[[#This Row],[Product]],products[Product],products[Cost per unit])</f>
        <v>3.11</v>
      </c>
      <c r="I263" s="29">
        <f>data[[#This Row],[Cost per Unit]]*data[[#This Row],[Units]]</f>
        <v>149.28</v>
      </c>
    </row>
    <row r="264" spans="3:9" x14ac:dyDescent="0.3">
      <c r="C264" t="s">
        <v>5</v>
      </c>
      <c r="D264" t="s">
        <v>35</v>
      </c>
      <c r="E264" t="s">
        <v>22</v>
      </c>
      <c r="F264" s="2">
        <v>490</v>
      </c>
      <c r="G264" s="3">
        <v>84</v>
      </c>
      <c r="H264">
        <f>_xlfn.XLOOKUP(data[[#This Row],[Product]],products[Product],products[Cost per unit])</f>
        <v>9.77</v>
      </c>
      <c r="I264" s="29">
        <f>data[[#This Row],[Cost per Unit]]*data[[#This Row],[Units]]</f>
        <v>820.68</v>
      </c>
    </row>
    <row r="265" spans="3:9" x14ac:dyDescent="0.3">
      <c r="C265" t="s">
        <v>8</v>
      </c>
      <c r="D265" t="s">
        <v>37</v>
      </c>
      <c r="E265" t="s">
        <v>21</v>
      </c>
      <c r="F265" s="2">
        <v>434</v>
      </c>
      <c r="G265" s="3">
        <v>87</v>
      </c>
      <c r="H265">
        <f>_xlfn.XLOOKUP(data[[#This Row],[Product]],products[Product],products[Cost per unit])</f>
        <v>9</v>
      </c>
      <c r="I265" s="29">
        <f>data[[#This Row],[Cost per Unit]]*data[[#This Row],[Units]]</f>
        <v>783</v>
      </c>
    </row>
    <row r="266" spans="3:9" x14ac:dyDescent="0.3">
      <c r="C266" t="s">
        <v>7</v>
      </c>
      <c r="D266" t="s">
        <v>38</v>
      </c>
      <c r="E266" t="s">
        <v>30</v>
      </c>
      <c r="F266" s="2">
        <v>10129</v>
      </c>
      <c r="G266" s="3">
        <v>312</v>
      </c>
      <c r="H266">
        <f>_xlfn.XLOOKUP(data[[#This Row],[Product]],products[Product],products[Cost per unit])</f>
        <v>14.49</v>
      </c>
      <c r="I266" s="29">
        <f>data[[#This Row],[Cost per Unit]]*data[[#This Row],[Units]]</f>
        <v>4520.88</v>
      </c>
    </row>
    <row r="267" spans="3:9" x14ac:dyDescent="0.3">
      <c r="C267" t="s">
        <v>3</v>
      </c>
      <c r="D267" t="s">
        <v>39</v>
      </c>
      <c r="E267" t="s">
        <v>28</v>
      </c>
      <c r="F267" s="2">
        <v>1652</v>
      </c>
      <c r="G267" s="3">
        <v>102</v>
      </c>
      <c r="H267">
        <f>_xlfn.XLOOKUP(data[[#This Row],[Product]],products[Product],products[Cost per unit])</f>
        <v>10.38</v>
      </c>
      <c r="I267" s="29">
        <f>data[[#This Row],[Cost per Unit]]*data[[#This Row],[Units]]</f>
        <v>1058.76</v>
      </c>
    </row>
    <row r="268" spans="3:9" x14ac:dyDescent="0.3">
      <c r="C268" t="s">
        <v>8</v>
      </c>
      <c r="D268" t="s">
        <v>38</v>
      </c>
      <c r="E268" t="s">
        <v>21</v>
      </c>
      <c r="F268" s="2">
        <v>6433</v>
      </c>
      <c r="G268" s="3">
        <v>78</v>
      </c>
      <c r="H268">
        <f>_xlfn.XLOOKUP(data[[#This Row],[Product]],products[Product],products[Cost per unit])</f>
        <v>9</v>
      </c>
      <c r="I268" s="29">
        <f>data[[#This Row],[Cost per Unit]]*data[[#This Row],[Units]]</f>
        <v>702</v>
      </c>
    </row>
    <row r="269" spans="3:9" x14ac:dyDescent="0.3">
      <c r="C269" t="s">
        <v>3</v>
      </c>
      <c r="D269" t="s">
        <v>34</v>
      </c>
      <c r="E269" t="s">
        <v>23</v>
      </c>
      <c r="F269" s="2">
        <v>2212</v>
      </c>
      <c r="G269" s="3">
        <v>117</v>
      </c>
      <c r="H269">
        <f>_xlfn.XLOOKUP(data[[#This Row],[Product]],products[Product],products[Cost per unit])</f>
        <v>6.49</v>
      </c>
      <c r="I269" s="29">
        <f>data[[#This Row],[Cost per Unit]]*data[[#This Row],[Units]]</f>
        <v>759.33</v>
      </c>
    </row>
    <row r="270" spans="3:9" x14ac:dyDescent="0.3">
      <c r="C270" t="s">
        <v>41</v>
      </c>
      <c r="D270" t="s">
        <v>35</v>
      </c>
      <c r="E270" t="s">
        <v>19</v>
      </c>
      <c r="F270" s="2">
        <v>609</v>
      </c>
      <c r="G270" s="3">
        <v>99</v>
      </c>
      <c r="H270">
        <f>_xlfn.XLOOKUP(data[[#This Row],[Product]],products[Product],products[Cost per unit])</f>
        <v>7.64</v>
      </c>
      <c r="I270" s="29">
        <f>data[[#This Row],[Cost per Unit]]*data[[#This Row],[Units]]</f>
        <v>756.36</v>
      </c>
    </row>
    <row r="271" spans="3:9" x14ac:dyDescent="0.3">
      <c r="C271" t="s">
        <v>40</v>
      </c>
      <c r="D271" t="s">
        <v>35</v>
      </c>
      <c r="E271" t="s">
        <v>24</v>
      </c>
      <c r="F271" s="2">
        <v>1638</v>
      </c>
      <c r="G271" s="3">
        <v>48</v>
      </c>
      <c r="H271">
        <f>_xlfn.XLOOKUP(data[[#This Row],[Product]],products[Product],products[Cost per unit])</f>
        <v>4.97</v>
      </c>
      <c r="I271" s="29">
        <f>data[[#This Row],[Cost per Unit]]*data[[#This Row],[Units]]</f>
        <v>238.56</v>
      </c>
    </row>
    <row r="272" spans="3:9" x14ac:dyDescent="0.3">
      <c r="C272" t="s">
        <v>7</v>
      </c>
      <c r="D272" t="s">
        <v>34</v>
      </c>
      <c r="E272" t="s">
        <v>15</v>
      </c>
      <c r="F272" s="2">
        <v>3829</v>
      </c>
      <c r="G272" s="3">
        <v>24</v>
      </c>
      <c r="H272">
        <f>_xlfn.XLOOKUP(data[[#This Row],[Product]],products[Product],products[Cost per unit])</f>
        <v>11.73</v>
      </c>
      <c r="I272" s="29">
        <f>data[[#This Row],[Cost per Unit]]*data[[#This Row],[Units]]</f>
        <v>281.52</v>
      </c>
    </row>
    <row r="273" spans="3:9" x14ac:dyDescent="0.3">
      <c r="C273" t="s">
        <v>40</v>
      </c>
      <c r="D273" t="s">
        <v>39</v>
      </c>
      <c r="E273" t="s">
        <v>15</v>
      </c>
      <c r="F273" s="2">
        <v>5775</v>
      </c>
      <c r="G273" s="3">
        <v>42</v>
      </c>
      <c r="H273">
        <f>_xlfn.XLOOKUP(data[[#This Row],[Product]],products[Product],products[Cost per unit])</f>
        <v>11.73</v>
      </c>
      <c r="I273" s="29">
        <f>data[[#This Row],[Cost per Unit]]*data[[#This Row],[Units]]</f>
        <v>492.66</v>
      </c>
    </row>
    <row r="274" spans="3:9" x14ac:dyDescent="0.3">
      <c r="C274" t="s">
        <v>6</v>
      </c>
      <c r="D274" t="s">
        <v>35</v>
      </c>
      <c r="E274" t="s">
        <v>20</v>
      </c>
      <c r="F274" s="2">
        <v>1071</v>
      </c>
      <c r="G274" s="3">
        <v>270</v>
      </c>
      <c r="H274">
        <f>_xlfn.XLOOKUP(data[[#This Row],[Product]],products[Product],products[Cost per unit])</f>
        <v>10.62</v>
      </c>
      <c r="I274" s="29">
        <f>data[[#This Row],[Cost per Unit]]*data[[#This Row],[Units]]</f>
        <v>2867.3999999999996</v>
      </c>
    </row>
    <row r="275" spans="3:9" x14ac:dyDescent="0.3">
      <c r="C275" t="s">
        <v>8</v>
      </c>
      <c r="D275" t="s">
        <v>36</v>
      </c>
      <c r="E275" t="s">
        <v>23</v>
      </c>
      <c r="F275" s="2">
        <v>5019</v>
      </c>
      <c r="G275" s="3">
        <v>150</v>
      </c>
      <c r="H275">
        <f>_xlfn.XLOOKUP(data[[#This Row],[Product]],products[Product],products[Cost per unit])</f>
        <v>6.49</v>
      </c>
      <c r="I275" s="29">
        <f>data[[#This Row],[Cost per Unit]]*data[[#This Row],[Units]]</f>
        <v>973.5</v>
      </c>
    </row>
    <row r="276" spans="3:9" x14ac:dyDescent="0.3">
      <c r="C276" t="s">
        <v>2</v>
      </c>
      <c r="D276" t="s">
        <v>37</v>
      </c>
      <c r="E276" t="s">
        <v>15</v>
      </c>
      <c r="F276" s="2">
        <v>2863</v>
      </c>
      <c r="G276" s="3">
        <v>42</v>
      </c>
      <c r="H276">
        <f>_xlfn.XLOOKUP(data[[#This Row],[Product]],products[Product],products[Cost per unit])</f>
        <v>11.73</v>
      </c>
      <c r="I276" s="29">
        <f>data[[#This Row],[Cost per Unit]]*data[[#This Row],[Units]]</f>
        <v>492.66</v>
      </c>
    </row>
    <row r="277" spans="3:9" x14ac:dyDescent="0.3">
      <c r="C277" t="s">
        <v>40</v>
      </c>
      <c r="D277" t="s">
        <v>35</v>
      </c>
      <c r="E277" t="s">
        <v>29</v>
      </c>
      <c r="F277" s="2">
        <v>1617</v>
      </c>
      <c r="G277" s="3">
        <v>126</v>
      </c>
      <c r="H277">
        <f>_xlfn.XLOOKUP(data[[#This Row],[Product]],products[Product],products[Cost per unit])</f>
        <v>7.16</v>
      </c>
      <c r="I277" s="29">
        <f>data[[#This Row],[Cost per Unit]]*data[[#This Row],[Units]]</f>
        <v>902.16</v>
      </c>
    </row>
    <row r="278" spans="3:9" x14ac:dyDescent="0.3">
      <c r="C278" t="s">
        <v>6</v>
      </c>
      <c r="D278" t="s">
        <v>37</v>
      </c>
      <c r="E278" t="s">
        <v>26</v>
      </c>
      <c r="F278" s="2">
        <v>6818</v>
      </c>
      <c r="G278" s="3">
        <v>6</v>
      </c>
      <c r="H278">
        <f>_xlfn.XLOOKUP(data[[#This Row],[Product]],products[Product],products[Cost per unit])</f>
        <v>5.6</v>
      </c>
      <c r="I278" s="29">
        <f>data[[#This Row],[Cost per Unit]]*data[[#This Row],[Units]]</f>
        <v>33.599999999999994</v>
      </c>
    </row>
    <row r="279" spans="3:9" x14ac:dyDescent="0.3">
      <c r="C279" t="s">
        <v>3</v>
      </c>
      <c r="D279" t="s">
        <v>35</v>
      </c>
      <c r="E279" t="s">
        <v>15</v>
      </c>
      <c r="F279" s="2">
        <v>6657</v>
      </c>
      <c r="G279" s="3">
        <v>276</v>
      </c>
      <c r="H279">
        <f>_xlfn.XLOOKUP(data[[#This Row],[Product]],products[Product],products[Cost per unit])</f>
        <v>11.73</v>
      </c>
      <c r="I279" s="29">
        <f>data[[#This Row],[Cost per Unit]]*data[[#This Row],[Units]]</f>
        <v>3237.48</v>
      </c>
    </row>
    <row r="280" spans="3:9" x14ac:dyDescent="0.3">
      <c r="C280" t="s">
        <v>3</v>
      </c>
      <c r="D280" t="s">
        <v>34</v>
      </c>
      <c r="E280" t="s">
        <v>17</v>
      </c>
      <c r="F280" s="2">
        <v>2919</v>
      </c>
      <c r="G280" s="3">
        <v>93</v>
      </c>
      <c r="H280">
        <f>_xlfn.XLOOKUP(data[[#This Row],[Product]],products[Product],products[Cost per unit])</f>
        <v>3.11</v>
      </c>
      <c r="I280" s="29">
        <f>data[[#This Row],[Cost per Unit]]*data[[#This Row],[Units]]</f>
        <v>289.22999999999996</v>
      </c>
    </row>
    <row r="281" spans="3:9" x14ac:dyDescent="0.3">
      <c r="C281" t="s">
        <v>2</v>
      </c>
      <c r="D281" t="s">
        <v>36</v>
      </c>
      <c r="E281" t="s">
        <v>31</v>
      </c>
      <c r="F281" s="2">
        <v>3094</v>
      </c>
      <c r="G281" s="3">
        <v>246</v>
      </c>
      <c r="H281">
        <f>_xlfn.XLOOKUP(data[[#This Row],[Product]],products[Product],products[Cost per unit])</f>
        <v>5.79</v>
      </c>
      <c r="I281" s="29">
        <f>data[[#This Row],[Cost per Unit]]*data[[#This Row],[Units]]</f>
        <v>1424.34</v>
      </c>
    </row>
    <row r="282" spans="3:9" x14ac:dyDescent="0.3">
      <c r="C282" t="s">
        <v>6</v>
      </c>
      <c r="D282" t="s">
        <v>39</v>
      </c>
      <c r="E282" t="s">
        <v>24</v>
      </c>
      <c r="F282" s="2">
        <v>2989</v>
      </c>
      <c r="G282" s="3">
        <v>3</v>
      </c>
      <c r="H282">
        <f>_xlfn.XLOOKUP(data[[#This Row],[Product]],products[Product],products[Cost per unit])</f>
        <v>4.97</v>
      </c>
      <c r="I282" s="29">
        <f>data[[#This Row],[Cost per Unit]]*data[[#This Row],[Units]]</f>
        <v>14.91</v>
      </c>
    </row>
    <row r="283" spans="3:9" x14ac:dyDescent="0.3">
      <c r="C283" t="s">
        <v>8</v>
      </c>
      <c r="D283" t="s">
        <v>38</v>
      </c>
      <c r="E283" t="s">
        <v>27</v>
      </c>
      <c r="F283" s="2">
        <v>2268</v>
      </c>
      <c r="G283" s="3">
        <v>63</v>
      </c>
      <c r="H283">
        <f>_xlfn.XLOOKUP(data[[#This Row],[Product]],products[Product],products[Cost per unit])</f>
        <v>16.73</v>
      </c>
      <c r="I283" s="29">
        <f>data[[#This Row],[Cost per Unit]]*data[[#This Row],[Units]]</f>
        <v>1053.99</v>
      </c>
    </row>
    <row r="284" spans="3:9" x14ac:dyDescent="0.3">
      <c r="C284" t="s">
        <v>5</v>
      </c>
      <c r="D284" t="s">
        <v>35</v>
      </c>
      <c r="E284" t="s">
        <v>31</v>
      </c>
      <c r="F284" s="2">
        <v>4753</v>
      </c>
      <c r="G284" s="3">
        <v>246</v>
      </c>
      <c r="H284">
        <f>_xlfn.XLOOKUP(data[[#This Row],[Product]],products[Product],products[Cost per unit])</f>
        <v>5.79</v>
      </c>
      <c r="I284" s="29">
        <f>data[[#This Row],[Cost per Unit]]*data[[#This Row],[Units]]</f>
        <v>1424.34</v>
      </c>
    </row>
    <row r="285" spans="3:9" x14ac:dyDescent="0.3">
      <c r="C285" t="s">
        <v>2</v>
      </c>
      <c r="D285" t="s">
        <v>34</v>
      </c>
      <c r="E285" t="s">
        <v>19</v>
      </c>
      <c r="F285" s="2">
        <v>7511</v>
      </c>
      <c r="G285" s="3">
        <v>120</v>
      </c>
      <c r="H285">
        <f>_xlfn.XLOOKUP(data[[#This Row],[Product]],products[Product],products[Cost per unit])</f>
        <v>7.64</v>
      </c>
      <c r="I285" s="29">
        <f>data[[#This Row],[Cost per Unit]]*data[[#This Row],[Units]]</f>
        <v>916.8</v>
      </c>
    </row>
    <row r="286" spans="3:9" x14ac:dyDescent="0.3">
      <c r="C286" t="s">
        <v>2</v>
      </c>
      <c r="D286" t="s">
        <v>38</v>
      </c>
      <c r="E286" t="s">
        <v>31</v>
      </c>
      <c r="F286" s="2">
        <v>4326</v>
      </c>
      <c r="G286" s="3">
        <v>348</v>
      </c>
      <c r="H286">
        <f>_xlfn.XLOOKUP(data[[#This Row],[Product]],products[Product],products[Cost per unit])</f>
        <v>5.79</v>
      </c>
      <c r="I286" s="29">
        <f>data[[#This Row],[Cost per Unit]]*data[[#This Row],[Units]]</f>
        <v>2014.92</v>
      </c>
    </row>
    <row r="287" spans="3:9" x14ac:dyDescent="0.3">
      <c r="C287" t="s">
        <v>41</v>
      </c>
      <c r="D287" t="s">
        <v>34</v>
      </c>
      <c r="E287" t="s">
        <v>23</v>
      </c>
      <c r="F287" s="2">
        <v>4935</v>
      </c>
      <c r="G287" s="3">
        <v>126</v>
      </c>
      <c r="H287">
        <f>_xlfn.XLOOKUP(data[[#This Row],[Product]],products[Product],products[Cost per unit])</f>
        <v>6.49</v>
      </c>
      <c r="I287" s="29">
        <f>data[[#This Row],[Cost per Unit]]*data[[#This Row],[Units]]</f>
        <v>817.74</v>
      </c>
    </row>
    <row r="288" spans="3:9" x14ac:dyDescent="0.3">
      <c r="C288" t="s">
        <v>6</v>
      </c>
      <c r="D288" t="s">
        <v>35</v>
      </c>
      <c r="E288" t="s">
        <v>30</v>
      </c>
      <c r="F288" s="2">
        <v>4781</v>
      </c>
      <c r="G288" s="3">
        <v>123</v>
      </c>
      <c r="H288">
        <f>_xlfn.XLOOKUP(data[[#This Row],[Product]],products[Product],products[Cost per unit])</f>
        <v>14.49</v>
      </c>
      <c r="I288" s="29">
        <f>data[[#This Row],[Cost per Unit]]*data[[#This Row],[Units]]</f>
        <v>1782.27</v>
      </c>
    </row>
    <row r="289" spans="3:9" x14ac:dyDescent="0.3">
      <c r="C289" t="s">
        <v>5</v>
      </c>
      <c r="D289" t="s">
        <v>38</v>
      </c>
      <c r="E289" t="s">
        <v>25</v>
      </c>
      <c r="F289" s="2">
        <v>7483</v>
      </c>
      <c r="G289" s="3">
        <v>45</v>
      </c>
      <c r="H289">
        <f>_xlfn.XLOOKUP(data[[#This Row],[Product]],products[Product],products[Cost per unit])</f>
        <v>13.15</v>
      </c>
      <c r="I289" s="29">
        <f>data[[#This Row],[Cost per Unit]]*data[[#This Row],[Units]]</f>
        <v>591.75</v>
      </c>
    </row>
    <row r="290" spans="3:9" x14ac:dyDescent="0.3">
      <c r="C290" t="s">
        <v>10</v>
      </c>
      <c r="D290" t="s">
        <v>38</v>
      </c>
      <c r="E290" t="s">
        <v>4</v>
      </c>
      <c r="F290" s="2">
        <v>6860</v>
      </c>
      <c r="G290" s="3">
        <v>126</v>
      </c>
      <c r="H290">
        <f>_xlfn.XLOOKUP(data[[#This Row],[Product]],products[Product],products[Cost per unit])</f>
        <v>11.88</v>
      </c>
      <c r="I290" s="29">
        <f>data[[#This Row],[Cost per Unit]]*data[[#This Row],[Units]]</f>
        <v>1496.88</v>
      </c>
    </row>
    <row r="291" spans="3:9" x14ac:dyDescent="0.3">
      <c r="C291" t="s">
        <v>40</v>
      </c>
      <c r="D291" t="s">
        <v>37</v>
      </c>
      <c r="E291" t="s">
        <v>29</v>
      </c>
      <c r="F291" s="2">
        <v>9002</v>
      </c>
      <c r="G291" s="3">
        <v>72</v>
      </c>
      <c r="H291">
        <f>_xlfn.XLOOKUP(data[[#This Row],[Product]],products[Product],products[Cost per unit])</f>
        <v>7.16</v>
      </c>
      <c r="I291" s="29">
        <f>data[[#This Row],[Cost per Unit]]*data[[#This Row],[Units]]</f>
        <v>515.52</v>
      </c>
    </row>
    <row r="292" spans="3:9" x14ac:dyDescent="0.3">
      <c r="C292" t="s">
        <v>6</v>
      </c>
      <c r="D292" t="s">
        <v>36</v>
      </c>
      <c r="E292" t="s">
        <v>29</v>
      </c>
      <c r="F292" s="2">
        <v>1400</v>
      </c>
      <c r="G292" s="3">
        <v>135</v>
      </c>
      <c r="H292">
        <f>_xlfn.XLOOKUP(data[[#This Row],[Product]],products[Product],products[Cost per unit])</f>
        <v>7.16</v>
      </c>
      <c r="I292" s="29">
        <f>data[[#This Row],[Cost per Unit]]*data[[#This Row],[Units]]</f>
        <v>966.6</v>
      </c>
    </row>
    <row r="293" spans="3:9" x14ac:dyDescent="0.3">
      <c r="C293" t="s">
        <v>10</v>
      </c>
      <c r="D293" t="s">
        <v>34</v>
      </c>
      <c r="E293" t="s">
        <v>22</v>
      </c>
      <c r="F293" s="2">
        <v>4053</v>
      </c>
      <c r="G293" s="3">
        <v>24</v>
      </c>
      <c r="H293">
        <f>_xlfn.XLOOKUP(data[[#This Row],[Product]],products[Product],products[Cost per unit])</f>
        <v>9.77</v>
      </c>
      <c r="I293" s="29">
        <f>data[[#This Row],[Cost per Unit]]*data[[#This Row],[Units]]</f>
        <v>234.48</v>
      </c>
    </row>
    <row r="294" spans="3:9" x14ac:dyDescent="0.3">
      <c r="C294" t="s">
        <v>7</v>
      </c>
      <c r="D294" t="s">
        <v>36</v>
      </c>
      <c r="E294" t="s">
        <v>31</v>
      </c>
      <c r="F294" s="2">
        <v>2149</v>
      </c>
      <c r="G294" s="3">
        <v>117</v>
      </c>
      <c r="H294">
        <f>_xlfn.XLOOKUP(data[[#This Row],[Product]],products[Product],products[Cost per unit])</f>
        <v>5.79</v>
      </c>
      <c r="I294" s="29">
        <f>data[[#This Row],[Cost per Unit]]*data[[#This Row],[Units]]</f>
        <v>677.43</v>
      </c>
    </row>
    <row r="295" spans="3:9" x14ac:dyDescent="0.3">
      <c r="C295" t="s">
        <v>3</v>
      </c>
      <c r="D295" t="s">
        <v>39</v>
      </c>
      <c r="E295" t="s">
        <v>29</v>
      </c>
      <c r="F295" s="2">
        <v>3640</v>
      </c>
      <c r="G295" s="3">
        <v>51</v>
      </c>
      <c r="H295">
        <f>_xlfn.XLOOKUP(data[[#This Row],[Product]],products[Product],products[Cost per unit])</f>
        <v>7.16</v>
      </c>
      <c r="I295" s="29">
        <f>data[[#This Row],[Cost per Unit]]*data[[#This Row],[Units]]</f>
        <v>365.16</v>
      </c>
    </row>
    <row r="296" spans="3:9" x14ac:dyDescent="0.3">
      <c r="C296" t="s">
        <v>2</v>
      </c>
      <c r="D296" t="s">
        <v>39</v>
      </c>
      <c r="E296" t="s">
        <v>23</v>
      </c>
      <c r="F296" s="2">
        <v>630</v>
      </c>
      <c r="G296" s="3">
        <v>36</v>
      </c>
      <c r="H296">
        <f>_xlfn.XLOOKUP(data[[#This Row],[Product]],products[Product],products[Cost per unit])</f>
        <v>6.49</v>
      </c>
      <c r="I296" s="29">
        <f>data[[#This Row],[Cost per Unit]]*data[[#This Row],[Units]]</f>
        <v>233.64000000000001</v>
      </c>
    </row>
    <row r="297" spans="3:9" x14ac:dyDescent="0.3">
      <c r="C297" t="s">
        <v>9</v>
      </c>
      <c r="D297" t="s">
        <v>35</v>
      </c>
      <c r="E297" t="s">
        <v>27</v>
      </c>
      <c r="F297" s="2">
        <v>2429</v>
      </c>
      <c r="G297" s="3">
        <v>144</v>
      </c>
      <c r="H297">
        <f>_xlfn.XLOOKUP(data[[#This Row],[Product]],products[Product],products[Cost per unit])</f>
        <v>16.73</v>
      </c>
      <c r="I297" s="29">
        <f>data[[#This Row],[Cost per Unit]]*data[[#This Row],[Units]]</f>
        <v>2409.12</v>
      </c>
    </row>
    <row r="298" spans="3:9" x14ac:dyDescent="0.3">
      <c r="C298" t="s">
        <v>9</v>
      </c>
      <c r="D298" t="s">
        <v>36</v>
      </c>
      <c r="E298" t="s">
        <v>25</v>
      </c>
      <c r="F298" s="2">
        <v>2142</v>
      </c>
      <c r="G298" s="3">
        <v>114</v>
      </c>
      <c r="H298">
        <f>_xlfn.XLOOKUP(data[[#This Row],[Product]],products[Product],products[Cost per unit])</f>
        <v>13.15</v>
      </c>
      <c r="I298" s="29">
        <f>data[[#This Row],[Cost per Unit]]*data[[#This Row],[Units]]</f>
        <v>1499.1000000000001</v>
      </c>
    </row>
    <row r="299" spans="3:9" x14ac:dyDescent="0.3">
      <c r="C299" t="s">
        <v>7</v>
      </c>
      <c r="D299" t="s">
        <v>37</v>
      </c>
      <c r="E299" t="s">
        <v>30</v>
      </c>
      <c r="F299" s="2">
        <v>6454</v>
      </c>
      <c r="G299" s="3">
        <v>54</v>
      </c>
      <c r="H299">
        <f>_xlfn.XLOOKUP(data[[#This Row],[Product]],products[Product],products[Cost per unit])</f>
        <v>14.49</v>
      </c>
      <c r="I299" s="29">
        <f>data[[#This Row],[Cost per Unit]]*data[[#This Row],[Units]]</f>
        <v>782.46</v>
      </c>
    </row>
    <row r="300" spans="3:9" x14ac:dyDescent="0.3">
      <c r="C300" t="s">
        <v>7</v>
      </c>
      <c r="D300" t="s">
        <v>37</v>
      </c>
      <c r="E300" t="s">
        <v>16</v>
      </c>
      <c r="F300" s="2">
        <v>4487</v>
      </c>
      <c r="G300" s="3">
        <v>333</v>
      </c>
      <c r="H300">
        <f>_xlfn.XLOOKUP(data[[#This Row],[Product]],products[Product],products[Cost per unit])</f>
        <v>8.7899999999999991</v>
      </c>
      <c r="I300" s="29">
        <f>data[[#This Row],[Cost per Unit]]*data[[#This Row],[Units]]</f>
        <v>2927.0699999999997</v>
      </c>
    </row>
    <row r="301" spans="3:9" x14ac:dyDescent="0.3">
      <c r="C301" t="s">
        <v>3</v>
      </c>
      <c r="D301" t="s">
        <v>37</v>
      </c>
      <c r="E301" t="s">
        <v>4</v>
      </c>
      <c r="F301" s="2">
        <v>938</v>
      </c>
      <c r="G301" s="3">
        <v>366</v>
      </c>
      <c r="H301">
        <f>_xlfn.XLOOKUP(data[[#This Row],[Product]],products[Product],products[Cost per unit])</f>
        <v>11.88</v>
      </c>
      <c r="I301" s="29">
        <f>data[[#This Row],[Cost per Unit]]*data[[#This Row],[Units]]</f>
        <v>4348.08</v>
      </c>
    </row>
    <row r="302" spans="3:9" x14ac:dyDescent="0.3">
      <c r="C302" t="s">
        <v>3</v>
      </c>
      <c r="D302" t="s">
        <v>38</v>
      </c>
      <c r="E302" t="s">
        <v>26</v>
      </c>
      <c r="F302" s="2">
        <v>8841</v>
      </c>
      <c r="G302" s="3">
        <v>303</v>
      </c>
      <c r="H302">
        <f>_xlfn.XLOOKUP(data[[#This Row],[Product]],products[Product],products[Cost per unit])</f>
        <v>5.6</v>
      </c>
      <c r="I302" s="29">
        <f>data[[#This Row],[Cost per Unit]]*data[[#This Row],[Units]]</f>
        <v>1696.8</v>
      </c>
    </row>
    <row r="303" spans="3:9" x14ac:dyDescent="0.3">
      <c r="C303" t="s">
        <v>2</v>
      </c>
      <c r="D303" t="s">
        <v>39</v>
      </c>
      <c r="E303" t="s">
        <v>33</v>
      </c>
      <c r="F303" s="2">
        <v>4018</v>
      </c>
      <c r="G303" s="3">
        <v>126</v>
      </c>
      <c r="H303">
        <f>_xlfn.XLOOKUP(data[[#This Row],[Product]],products[Product],products[Cost per unit])</f>
        <v>12.37</v>
      </c>
      <c r="I303" s="29">
        <f>data[[#This Row],[Cost per Unit]]*data[[#This Row],[Units]]</f>
        <v>1558.62</v>
      </c>
    </row>
    <row r="304" spans="3:9" x14ac:dyDescent="0.3">
      <c r="C304" t="s">
        <v>41</v>
      </c>
      <c r="D304" t="s">
        <v>37</v>
      </c>
      <c r="E304" t="s">
        <v>15</v>
      </c>
      <c r="F304" s="2">
        <v>714</v>
      </c>
      <c r="G304" s="3">
        <v>231</v>
      </c>
      <c r="H304">
        <f>_xlfn.XLOOKUP(data[[#This Row],[Product]],products[Product],products[Cost per unit])</f>
        <v>11.73</v>
      </c>
      <c r="I304" s="29">
        <f>data[[#This Row],[Cost per Unit]]*data[[#This Row],[Units]]</f>
        <v>2709.63</v>
      </c>
    </row>
    <row r="305" spans="3:9" x14ac:dyDescent="0.3">
      <c r="C305" t="s">
        <v>9</v>
      </c>
      <c r="D305" t="s">
        <v>38</v>
      </c>
      <c r="E305" t="s">
        <v>25</v>
      </c>
      <c r="F305" s="2">
        <v>3850</v>
      </c>
      <c r="G305" s="3">
        <v>102</v>
      </c>
      <c r="H305">
        <f>_xlfn.XLOOKUP(data[[#This Row],[Product]],products[Product],products[Cost per unit])</f>
        <v>13.15</v>
      </c>
      <c r="I305" s="29">
        <f>data[[#This Row],[Cost per Unit]]*data[[#This Row],[Units]]</f>
        <v>1341.3</v>
      </c>
    </row>
    <row r="312" spans="3:9" x14ac:dyDescent="0.3">
      <c r="F312" s="2"/>
      <c r="G312" s="3"/>
    </row>
    <row r="313" spans="3:9" x14ac:dyDescent="0.3">
      <c r="F313" s="2"/>
      <c r="G313" s="3"/>
    </row>
    <row r="314" spans="3:9" x14ac:dyDescent="0.3">
      <c r="F314" s="2"/>
      <c r="G314" s="3"/>
    </row>
    <row r="315" spans="3:9" x14ac:dyDescent="0.3">
      <c r="F315" s="2"/>
      <c r="G315" s="3"/>
    </row>
    <row r="316" spans="3:9" x14ac:dyDescent="0.3">
      <c r="F316" s="2"/>
      <c r="G316" s="3"/>
    </row>
    <row r="317" spans="3:9" x14ac:dyDescent="0.3">
      <c r="F317" s="2"/>
      <c r="G317" s="3"/>
    </row>
    <row r="318" spans="3:9" x14ac:dyDescent="0.3">
      <c r="F318" s="2"/>
      <c r="G318" s="3"/>
    </row>
    <row r="319" spans="3:9" x14ac:dyDescent="0.3">
      <c r="F319" s="2"/>
      <c r="G319" s="3"/>
    </row>
    <row r="320" spans="3:9" x14ac:dyDescent="0.3">
      <c r="F320" s="2"/>
      <c r="G320" s="3"/>
    </row>
    <row r="321" spans="6:7" x14ac:dyDescent="0.3">
      <c r="F321" s="2"/>
      <c r="G321" s="3"/>
    </row>
    <row r="322" spans="6:7" x14ac:dyDescent="0.3">
      <c r="F322" s="2"/>
      <c r="G322" s="3"/>
    </row>
    <row r="323" spans="6:7" x14ac:dyDescent="0.3">
      <c r="F323" s="2"/>
      <c r="G323" s="3"/>
    </row>
    <row r="324" spans="6:7" x14ac:dyDescent="0.3">
      <c r="F324" s="2"/>
      <c r="G324" s="3"/>
    </row>
    <row r="325" spans="6:7" x14ac:dyDescent="0.3">
      <c r="F325" s="2"/>
      <c r="G325" s="3"/>
    </row>
    <row r="326" spans="6:7" x14ac:dyDescent="0.3">
      <c r="F326" s="2"/>
      <c r="G326" s="3"/>
    </row>
    <row r="327" spans="6:7" x14ac:dyDescent="0.3">
      <c r="F327" s="2"/>
      <c r="G327" s="3"/>
    </row>
    <row r="328" spans="6:7" x14ac:dyDescent="0.3">
      <c r="F328" s="2"/>
      <c r="G328" s="3"/>
    </row>
    <row r="329" spans="6:7" x14ac:dyDescent="0.3">
      <c r="F329" s="2"/>
      <c r="G329" s="3"/>
    </row>
    <row r="330" spans="6:7" x14ac:dyDescent="0.3">
      <c r="F330" s="2"/>
      <c r="G330" s="3"/>
    </row>
    <row r="331" spans="6:7" x14ac:dyDescent="0.3">
      <c r="F331" s="2"/>
      <c r="G331" s="3"/>
    </row>
    <row r="332" spans="6:7" x14ac:dyDescent="0.3">
      <c r="F332" s="2"/>
      <c r="G332" s="3"/>
    </row>
    <row r="333" spans="6:7" x14ac:dyDescent="0.3">
      <c r="F333" s="2"/>
      <c r="G333" s="3"/>
    </row>
    <row r="334" spans="6:7" x14ac:dyDescent="0.3">
      <c r="F334" s="2"/>
      <c r="G334" s="3"/>
    </row>
    <row r="335" spans="6:7" x14ac:dyDescent="0.3">
      <c r="F335" s="2"/>
      <c r="G335" s="3"/>
    </row>
    <row r="336" spans="6:7" x14ac:dyDescent="0.3">
      <c r="F336" s="2"/>
      <c r="G336" s="3"/>
    </row>
    <row r="337" spans="6:7" x14ac:dyDescent="0.3">
      <c r="F337" s="2"/>
      <c r="G337" s="3"/>
    </row>
    <row r="338" spans="6:7" x14ac:dyDescent="0.3">
      <c r="F338" s="2"/>
      <c r="G338" s="3"/>
    </row>
    <row r="339" spans="6:7" x14ac:dyDescent="0.3">
      <c r="F339" s="2"/>
      <c r="G339" s="3"/>
    </row>
    <row r="340" spans="6:7" x14ac:dyDescent="0.3">
      <c r="F340" s="2"/>
      <c r="G340" s="3"/>
    </row>
    <row r="341" spans="6:7" x14ac:dyDescent="0.3">
      <c r="F341" s="2"/>
      <c r="G341" s="3"/>
    </row>
    <row r="342" spans="6:7" x14ac:dyDescent="0.3">
      <c r="F342" s="2"/>
      <c r="G342" s="3"/>
    </row>
    <row r="343" spans="6:7" x14ac:dyDescent="0.3">
      <c r="F343" s="2"/>
      <c r="G343" s="3"/>
    </row>
    <row r="344" spans="6:7" x14ac:dyDescent="0.3">
      <c r="F344" s="2"/>
      <c r="G344" s="3"/>
    </row>
    <row r="345" spans="6:7" x14ac:dyDescent="0.3">
      <c r="F345" s="2"/>
      <c r="G345" s="3"/>
    </row>
    <row r="346" spans="6:7" x14ac:dyDescent="0.3">
      <c r="F346" s="2"/>
      <c r="G346" s="3"/>
    </row>
    <row r="347" spans="6:7" x14ac:dyDescent="0.3">
      <c r="F347" s="2"/>
      <c r="G347" s="3"/>
    </row>
    <row r="348" spans="6:7" x14ac:dyDescent="0.3">
      <c r="F348" s="2"/>
      <c r="G348" s="3"/>
    </row>
    <row r="349" spans="6:7" x14ac:dyDescent="0.3">
      <c r="F349" s="2"/>
      <c r="G349" s="3"/>
    </row>
    <row r="350" spans="6:7" x14ac:dyDescent="0.3">
      <c r="F350" s="2"/>
      <c r="G350" s="3"/>
    </row>
    <row r="351" spans="6:7" x14ac:dyDescent="0.3">
      <c r="F351" s="2"/>
      <c r="G351" s="3"/>
    </row>
    <row r="352" spans="6:7" x14ac:dyDescent="0.3">
      <c r="F352" s="2"/>
      <c r="G352" s="3"/>
    </row>
    <row r="353" spans="6:7" x14ac:dyDescent="0.3">
      <c r="F353" s="2"/>
      <c r="G353" s="3"/>
    </row>
    <row r="354" spans="6:7" x14ac:dyDescent="0.3">
      <c r="F354" s="2"/>
      <c r="G354" s="3"/>
    </row>
    <row r="355" spans="6:7" x14ac:dyDescent="0.3">
      <c r="F355" s="2"/>
      <c r="G355" s="3"/>
    </row>
    <row r="356" spans="6:7" x14ac:dyDescent="0.3">
      <c r="F356" s="2"/>
      <c r="G356" s="3"/>
    </row>
    <row r="357" spans="6:7" x14ac:dyDescent="0.3">
      <c r="F357" s="2"/>
      <c r="G357" s="3"/>
    </row>
    <row r="358" spans="6:7" x14ac:dyDescent="0.3">
      <c r="F358" s="2"/>
      <c r="G358" s="3"/>
    </row>
    <row r="359" spans="6:7" x14ac:dyDescent="0.3">
      <c r="F359" s="2"/>
      <c r="G359" s="3"/>
    </row>
    <row r="360" spans="6:7" x14ac:dyDescent="0.3">
      <c r="F360" s="2"/>
      <c r="G360" s="3"/>
    </row>
    <row r="361" spans="6:7" x14ac:dyDescent="0.3">
      <c r="F361" s="2"/>
      <c r="G361" s="3"/>
    </row>
    <row r="362" spans="6:7" x14ac:dyDescent="0.3">
      <c r="F362" s="2"/>
      <c r="G362" s="3"/>
    </row>
    <row r="363" spans="6:7" x14ac:dyDescent="0.3">
      <c r="F363" s="2"/>
      <c r="G363" s="3"/>
    </row>
    <row r="364" spans="6:7" x14ac:dyDescent="0.3">
      <c r="F364" s="2"/>
      <c r="G364" s="3"/>
    </row>
    <row r="365" spans="6:7" x14ac:dyDescent="0.3">
      <c r="F365" s="2"/>
      <c r="G365" s="3"/>
    </row>
    <row r="366" spans="6:7" x14ac:dyDescent="0.3">
      <c r="F366" s="2"/>
      <c r="G366" s="3"/>
    </row>
    <row r="367" spans="6:7" x14ac:dyDescent="0.3">
      <c r="F367" s="2"/>
      <c r="G367" s="3"/>
    </row>
    <row r="368" spans="6:7" x14ac:dyDescent="0.3">
      <c r="F368" s="2"/>
      <c r="G368" s="3"/>
    </row>
    <row r="369" spans="6:7" x14ac:dyDescent="0.3">
      <c r="F369" s="2"/>
      <c r="G369" s="3"/>
    </row>
    <row r="370" spans="6:7" x14ac:dyDescent="0.3">
      <c r="F370" s="2"/>
      <c r="G370" s="3"/>
    </row>
    <row r="371" spans="6:7" x14ac:dyDescent="0.3">
      <c r="F371" s="2"/>
      <c r="G371" s="3"/>
    </row>
    <row r="372" spans="6:7" x14ac:dyDescent="0.3">
      <c r="F372" s="2"/>
      <c r="G372" s="3"/>
    </row>
    <row r="373" spans="6:7" x14ac:dyDescent="0.3">
      <c r="F373" s="2"/>
      <c r="G373" s="3"/>
    </row>
    <row r="374" spans="6:7" x14ac:dyDescent="0.3">
      <c r="F374" s="2"/>
      <c r="G374" s="3"/>
    </row>
    <row r="375" spans="6:7" x14ac:dyDescent="0.3">
      <c r="F375" s="2"/>
      <c r="G375" s="3"/>
    </row>
    <row r="376" spans="6:7" x14ac:dyDescent="0.3">
      <c r="F376" s="2"/>
      <c r="G376" s="3"/>
    </row>
    <row r="377" spans="6:7" x14ac:dyDescent="0.3">
      <c r="F377" s="2"/>
      <c r="G377" s="3"/>
    </row>
    <row r="378" spans="6:7" x14ac:dyDescent="0.3">
      <c r="F378" s="2"/>
      <c r="G378" s="3"/>
    </row>
    <row r="379" spans="6:7" x14ac:dyDescent="0.3">
      <c r="F379" s="2"/>
      <c r="G379" s="3"/>
    </row>
    <row r="380" spans="6:7" x14ac:dyDescent="0.3">
      <c r="F380" s="2"/>
      <c r="G380" s="3"/>
    </row>
    <row r="381" spans="6:7" x14ac:dyDescent="0.3">
      <c r="F381" s="2"/>
      <c r="G381" s="3"/>
    </row>
    <row r="382" spans="6:7" x14ac:dyDescent="0.3">
      <c r="F382" s="2"/>
      <c r="G382" s="3"/>
    </row>
    <row r="383" spans="6:7" x14ac:dyDescent="0.3">
      <c r="F383" s="2"/>
      <c r="G383" s="3"/>
    </row>
    <row r="384" spans="6:7" x14ac:dyDescent="0.3">
      <c r="F384" s="2"/>
      <c r="G384" s="3"/>
    </row>
    <row r="385" spans="6:7" x14ac:dyDescent="0.3">
      <c r="F385" s="2"/>
      <c r="G385" s="3"/>
    </row>
    <row r="386" spans="6:7" x14ac:dyDescent="0.3">
      <c r="F386" s="2"/>
      <c r="G386" s="3"/>
    </row>
    <row r="387" spans="6:7" x14ac:dyDescent="0.3">
      <c r="F387" s="2"/>
      <c r="G387" s="3"/>
    </row>
    <row r="388" spans="6:7" x14ac:dyDescent="0.3">
      <c r="F388" s="2"/>
      <c r="G388" s="3"/>
    </row>
    <row r="389" spans="6:7" x14ac:dyDescent="0.3">
      <c r="F389" s="2"/>
      <c r="G389" s="3"/>
    </row>
    <row r="390" spans="6:7" x14ac:dyDescent="0.3">
      <c r="F390" s="2"/>
      <c r="G390" s="3"/>
    </row>
    <row r="391" spans="6:7" x14ac:dyDescent="0.3">
      <c r="F391" s="2"/>
      <c r="G391" s="3"/>
    </row>
    <row r="392" spans="6:7" x14ac:dyDescent="0.3">
      <c r="F392" s="2"/>
      <c r="G392" s="3"/>
    </row>
    <row r="393" spans="6:7" x14ac:dyDescent="0.3">
      <c r="F393" s="2"/>
      <c r="G393" s="3"/>
    </row>
    <row r="394" spans="6:7" x14ac:dyDescent="0.3">
      <c r="F394" s="2"/>
      <c r="G394" s="3"/>
    </row>
    <row r="395" spans="6:7" x14ac:dyDescent="0.3">
      <c r="F395" s="2"/>
      <c r="G395" s="3"/>
    </row>
    <row r="396" spans="6:7" x14ac:dyDescent="0.3">
      <c r="F396" s="2"/>
      <c r="G396" s="3"/>
    </row>
    <row r="397" spans="6:7" x14ac:dyDescent="0.3">
      <c r="F397" s="2"/>
      <c r="G397" s="3"/>
    </row>
    <row r="398" spans="6:7" x14ac:dyDescent="0.3">
      <c r="F398" s="2"/>
      <c r="G398" s="3"/>
    </row>
    <row r="399" spans="6:7" x14ac:dyDescent="0.3">
      <c r="F399" s="2"/>
      <c r="G399" s="3"/>
    </row>
    <row r="400" spans="6:7" x14ac:dyDescent="0.3">
      <c r="F400" s="2"/>
      <c r="G400" s="3"/>
    </row>
    <row r="401" spans="6:7" x14ac:dyDescent="0.3">
      <c r="F401" s="2"/>
      <c r="G401" s="3"/>
    </row>
    <row r="402" spans="6:7" x14ac:dyDescent="0.3">
      <c r="F402" s="2"/>
      <c r="G402" s="3"/>
    </row>
    <row r="403" spans="6:7" x14ac:dyDescent="0.3">
      <c r="F403" s="2"/>
      <c r="G403" s="3"/>
    </row>
    <row r="404" spans="6:7" x14ac:dyDescent="0.3">
      <c r="F404" s="2"/>
      <c r="G404" s="3"/>
    </row>
    <row r="405" spans="6:7" x14ac:dyDescent="0.3">
      <c r="F405" s="2"/>
      <c r="G405" s="3"/>
    </row>
    <row r="406" spans="6:7" x14ac:dyDescent="0.3">
      <c r="F406" s="2"/>
      <c r="G406" s="3"/>
    </row>
    <row r="407" spans="6:7" x14ac:dyDescent="0.3">
      <c r="F407" s="2"/>
      <c r="G407" s="3"/>
    </row>
    <row r="408" spans="6:7" x14ac:dyDescent="0.3">
      <c r="F408" s="2"/>
      <c r="G408" s="3"/>
    </row>
    <row r="409" spans="6:7" x14ac:dyDescent="0.3">
      <c r="F409" s="2"/>
      <c r="G409" s="3"/>
    </row>
    <row r="410" spans="6:7" x14ac:dyDescent="0.3">
      <c r="F410" s="2"/>
      <c r="G410" s="3"/>
    </row>
    <row r="411" spans="6:7" x14ac:dyDescent="0.3">
      <c r="F411" s="2"/>
      <c r="G411" s="3"/>
    </row>
    <row r="412" spans="6:7" x14ac:dyDescent="0.3">
      <c r="F412" s="2"/>
      <c r="G412" s="3"/>
    </row>
    <row r="413" spans="6:7" x14ac:dyDescent="0.3">
      <c r="F413" s="2"/>
      <c r="G413" s="3"/>
    </row>
    <row r="414" spans="6:7" x14ac:dyDescent="0.3">
      <c r="F414" s="2"/>
      <c r="G414" s="3"/>
    </row>
    <row r="415" spans="6:7" x14ac:dyDescent="0.3">
      <c r="F415" s="2"/>
      <c r="G415" s="3"/>
    </row>
    <row r="416" spans="6:7" x14ac:dyDescent="0.3">
      <c r="F416" s="2"/>
      <c r="G416" s="3"/>
    </row>
    <row r="417" spans="6:7" x14ac:dyDescent="0.3">
      <c r="F417" s="2"/>
      <c r="G417" s="3"/>
    </row>
    <row r="418" spans="6:7" x14ac:dyDescent="0.3">
      <c r="F418" s="2"/>
      <c r="G418" s="3"/>
    </row>
    <row r="419" spans="6:7" x14ac:dyDescent="0.3">
      <c r="F419" s="2"/>
      <c r="G419" s="3"/>
    </row>
    <row r="420" spans="6:7" x14ac:dyDescent="0.3">
      <c r="F420" s="2"/>
      <c r="G420" s="3"/>
    </row>
    <row r="421" spans="6:7" x14ac:dyDescent="0.3">
      <c r="F421" s="2"/>
      <c r="G421" s="3"/>
    </row>
    <row r="422" spans="6:7" x14ac:dyDescent="0.3">
      <c r="F422" s="2"/>
      <c r="G422" s="3"/>
    </row>
    <row r="423" spans="6:7" x14ac:dyDescent="0.3">
      <c r="F423" s="2"/>
      <c r="G423" s="3"/>
    </row>
    <row r="424" spans="6:7" x14ac:dyDescent="0.3">
      <c r="F424" s="2"/>
      <c r="G424" s="3"/>
    </row>
    <row r="425" spans="6:7" x14ac:dyDescent="0.3">
      <c r="F425" s="2"/>
      <c r="G425" s="3"/>
    </row>
    <row r="426" spans="6:7" x14ac:dyDescent="0.3">
      <c r="F426" s="2"/>
      <c r="G426" s="3"/>
    </row>
    <row r="427" spans="6:7" x14ac:dyDescent="0.3">
      <c r="F427" s="2"/>
      <c r="G427" s="3"/>
    </row>
    <row r="428" spans="6:7" x14ac:dyDescent="0.3">
      <c r="F428" s="2"/>
      <c r="G428" s="3"/>
    </row>
    <row r="429" spans="6:7" x14ac:dyDescent="0.3">
      <c r="F429" s="2"/>
      <c r="G429" s="3"/>
    </row>
    <row r="430" spans="6:7" x14ac:dyDescent="0.3">
      <c r="F430" s="2"/>
      <c r="G430" s="3"/>
    </row>
    <row r="431" spans="6:7" x14ac:dyDescent="0.3">
      <c r="F431" s="2"/>
      <c r="G431" s="3"/>
    </row>
    <row r="432" spans="6:7" x14ac:dyDescent="0.3">
      <c r="F432" s="2"/>
      <c r="G432" s="3"/>
    </row>
    <row r="433" spans="6:7" x14ac:dyDescent="0.3">
      <c r="F433" s="2"/>
      <c r="G433" s="3"/>
    </row>
    <row r="434" spans="6:7" x14ac:dyDescent="0.3">
      <c r="F434" s="2"/>
      <c r="G434" s="3"/>
    </row>
    <row r="435" spans="6:7" x14ac:dyDescent="0.3">
      <c r="F435" s="2"/>
      <c r="G435" s="3"/>
    </row>
    <row r="436" spans="6:7" x14ac:dyDescent="0.3">
      <c r="F436" s="2"/>
      <c r="G436" s="3"/>
    </row>
    <row r="437" spans="6:7" x14ac:dyDescent="0.3">
      <c r="F437" s="2"/>
      <c r="G437" s="3"/>
    </row>
    <row r="438" spans="6:7" x14ac:dyDescent="0.3">
      <c r="F438" s="2"/>
      <c r="G438" s="3"/>
    </row>
    <row r="439" spans="6:7" x14ac:dyDescent="0.3">
      <c r="F439" s="2"/>
      <c r="G439" s="3"/>
    </row>
    <row r="440" spans="6:7" x14ac:dyDescent="0.3">
      <c r="F440" s="2"/>
      <c r="G440" s="3"/>
    </row>
    <row r="441" spans="6:7" x14ac:dyDescent="0.3">
      <c r="F441" s="2"/>
      <c r="G441" s="3"/>
    </row>
    <row r="442" spans="6:7" x14ac:dyDescent="0.3">
      <c r="F442" s="2"/>
      <c r="G442" s="3"/>
    </row>
    <row r="443" spans="6:7" x14ac:dyDescent="0.3">
      <c r="F443" s="2"/>
      <c r="G443" s="3"/>
    </row>
    <row r="444" spans="6:7" x14ac:dyDescent="0.3">
      <c r="F444" s="2"/>
      <c r="G444" s="3"/>
    </row>
    <row r="445" spans="6:7" x14ac:dyDescent="0.3">
      <c r="F445" s="2"/>
      <c r="G445" s="3"/>
    </row>
    <row r="446" spans="6:7" x14ac:dyDescent="0.3">
      <c r="F446" s="2"/>
      <c r="G446" s="3"/>
    </row>
    <row r="447" spans="6:7" x14ac:dyDescent="0.3">
      <c r="F447" s="2"/>
      <c r="G447" s="3"/>
    </row>
    <row r="448" spans="6:7" x14ac:dyDescent="0.3">
      <c r="F448" s="2"/>
      <c r="G448" s="3"/>
    </row>
    <row r="449" spans="6:7" x14ac:dyDescent="0.3">
      <c r="F449" s="2"/>
      <c r="G449" s="3"/>
    </row>
    <row r="450" spans="6:7" x14ac:dyDescent="0.3">
      <c r="F450" s="2"/>
      <c r="G450" s="3"/>
    </row>
    <row r="451" spans="6:7" x14ac:dyDescent="0.3">
      <c r="F451" s="2"/>
      <c r="G451" s="3"/>
    </row>
    <row r="452" spans="6:7" x14ac:dyDescent="0.3">
      <c r="F452" s="2"/>
      <c r="G452" s="3"/>
    </row>
    <row r="453" spans="6:7" x14ac:dyDescent="0.3">
      <c r="F453" s="2"/>
      <c r="G453" s="3"/>
    </row>
    <row r="454" spans="6:7" x14ac:dyDescent="0.3">
      <c r="F454" s="2"/>
      <c r="G454" s="3"/>
    </row>
    <row r="455" spans="6:7" x14ac:dyDescent="0.3">
      <c r="F455" s="2"/>
      <c r="G455" s="3"/>
    </row>
    <row r="456" spans="6:7" x14ac:dyDescent="0.3">
      <c r="F456" s="2"/>
      <c r="G456" s="3"/>
    </row>
    <row r="457" spans="6:7" x14ac:dyDescent="0.3">
      <c r="F457" s="2"/>
      <c r="G457" s="3"/>
    </row>
    <row r="458" spans="6:7" x14ac:dyDescent="0.3">
      <c r="F458" s="2"/>
      <c r="G458" s="3"/>
    </row>
    <row r="459" spans="6:7" x14ac:dyDescent="0.3">
      <c r="F459" s="2"/>
      <c r="G459" s="3"/>
    </row>
    <row r="460" spans="6:7" x14ac:dyDescent="0.3">
      <c r="F460" s="2"/>
      <c r="G460" s="3"/>
    </row>
    <row r="461" spans="6:7" x14ac:dyDescent="0.3">
      <c r="F461" s="2"/>
      <c r="G461" s="3"/>
    </row>
    <row r="462" spans="6:7" x14ac:dyDescent="0.3">
      <c r="F462" s="2"/>
      <c r="G462" s="3"/>
    </row>
    <row r="463" spans="6:7" x14ac:dyDescent="0.3">
      <c r="F463" s="2"/>
      <c r="G463" s="3"/>
    </row>
    <row r="464" spans="6:7" x14ac:dyDescent="0.3">
      <c r="F464" s="2"/>
      <c r="G464" s="3"/>
    </row>
    <row r="465" spans="6:7" x14ac:dyDescent="0.3">
      <c r="F465" s="2"/>
      <c r="G465" s="3"/>
    </row>
    <row r="466" spans="6:7" x14ac:dyDescent="0.3">
      <c r="F466" s="2"/>
      <c r="G466" s="3"/>
    </row>
    <row r="467" spans="6:7" x14ac:dyDescent="0.3">
      <c r="F467" s="2"/>
      <c r="G467" s="3"/>
    </row>
    <row r="468" spans="6:7" x14ac:dyDescent="0.3">
      <c r="F468" s="2"/>
      <c r="G468" s="3"/>
    </row>
    <row r="469" spans="6:7" x14ac:dyDescent="0.3">
      <c r="F469" s="2"/>
      <c r="G469" s="3"/>
    </row>
    <row r="470" spans="6:7" x14ac:dyDescent="0.3">
      <c r="F470" s="2"/>
      <c r="G470" s="3"/>
    </row>
    <row r="471" spans="6:7" x14ac:dyDescent="0.3">
      <c r="F471" s="2"/>
      <c r="G471" s="3"/>
    </row>
    <row r="472" spans="6:7" x14ac:dyDescent="0.3">
      <c r="F472" s="2"/>
      <c r="G472" s="3"/>
    </row>
    <row r="473" spans="6:7" x14ac:dyDescent="0.3">
      <c r="F473" s="2"/>
      <c r="G473" s="3"/>
    </row>
    <row r="474" spans="6:7" x14ac:dyDescent="0.3">
      <c r="F474" s="2"/>
      <c r="G474" s="3"/>
    </row>
    <row r="475" spans="6:7" x14ac:dyDescent="0.3">
      <c r="F475" s="2"/>
      <c r="G475" s="3"/>
    </row>
    <row r="476" spans="6:7" x14ac:dyDescent="0.3">
      <c r="F476" s="2"/>
      <c r="G476" s="3"/>
    </row>
    <row r="477" spans="6:7" x14ac:dyDescent="0.3">
      <c r="F477" s="2"/>
      <c r="G477" s="3"/>
    </row>
    <row r="478" spans="6:7" x14ac:dyDescent="0.3">
      <c r="F478" s="2"/>
      <c r="G478" s="3"/>
    </row>
    <row r="479" spans="6:7" x14ac:dyDescent="0.3">
      <c r="F479" s="2"/>
      <c r="G479" s="3"/>
    </row>
    <row r="480" spans="6:7" x14ac:dyDescent="0.3">
      <c r="F480" s="2"/>
      <c r="G480" s="3"/>
    </row>
    <row r="481" spans="6:7" x14ac:dyDescent="0.3">
      <c r="F481" s="2"/>
      <c r="G481" s="3"/>
    </row>
    <row r="482" spans="6:7" x14ac:dyDescent="0.3">
      <c r="F482" s="2"/>
      <c r="G482" s="3"/>
    </row>
    <row r="483" spans="6:7" x14ac:dyDescent="0.3">
      <c r="F483" s="2"/>
      <c r="G483" s="3"/>
    </row>
    <row r="484" spans="6:7" x14ac:dyDescent="0.3">
      <c r="F484" s="2"/>
      <c r="G484" s="3"/>
    </row>
    <row r="485" spans="6:7" x14ac:dyDescent="0.3">
      <c r="F485" s="2"/>
      <c r="G485" s="3"/>
    </row>
    <row r="486" spans="6:7" x14ac:dyDescent="0.3">
      <c r="F486" s="2"/>
      <c r="G486" s="3"/>
    </row>
    <row r="487" spans="6:7" x14ac:dyDescent="0.3">
      <c r="F487" s="2"/>
      <c r="G487" s="3"/>
    </row>
    <row r="488" spans="6:7" x14ac:dyDescent="0.3">
      <c r="F488" s="2"/>
      <c r="G488" s="3"/>
    </row>
    <row r="489" spans="6:7" x14ac:dyDescent="0.3">
      <c r="F489" s="2"/>
      <c r="G489" s="3"/>
    </row>
    <row r="490" spans="6:7" x14ac:dyDescent="0.3">
      <c r="F490" s="2"/>
      <c r="G490" s="3"/>
    </row>
    <row r="491" spans="6:7" x14ac:dyDescent="0.3">
      <c r="F491" s="2"/>
      <c r="G491" s="3"/>
    </row>
    <row r="492" spans="6:7" x14ac:dyDescent="0.3">
      <c r="F492" s="2"/>
      <c r="G492" s="3"/>
    </row>
    <row r="493" spans="6:7" x14ac:dyDescent="0.3">
      <c r="F493" s="2"/>
      <c r="G493" s="3"/>
    </row>
    <row r="494" spans="6:7" x14ac:dyDescent="0.3">
      <c r="F494" s="2"/>
      <c r="G494" s="3"/>
    </row>
    <row r="495" spans="6:7" x14ac:dyDescent="0.3">
      <c r="F495" s="2"/>
      <c r="G495" s="3"/>
    </row>
    <row r="496" spans="6:7" x14ac:dyDescent="0.3">
      <c r="F496" s="2"/>
      <c r="G496" s="3"/>
    </row>
    <row r="497" spans="6:7" x14ac:dyDescent="0.3">
      <c r="F497" s="2"/>
      <c r="G497" s="3"/>
    </row>
    <row r="498" spans="6:7" x14ac:dyDescent="0.3">
      <c r="F498" s="2"/>
      <c r="G498" s="3"/>
    </row>
    <row r="499" spans="6:7" x14ac:dyDescent="0.3">
      <c r="F499" s="2"/>
      <c r="G499" s="3"/>
    </row>
    <row r="500" spans="6:7" x14ac:dyDescent="0.3">
      <c r="F500" s="2"/>
      <c r="G500" s="3"/>
    </row>
    <row r="501" spans="6:7" x14ac:dyDescent="0.3">
      <c r="F501" s="2"/>
      <c r="G501" s="3"/>
    </row>
    <row r="502" spans="6:7" x14ac:dyDescent="0.3">
      <c r="F502" s="2"/>
      <c r="G502" s="3"/>
    </row>
    <row r="503" spans="6:7" x14ac:dyDescent="0.3">
      <c r="F503" s="2"/>
      <c r="G503" s="3"/>
    </row>
    <row r="504" spans="6:7" x14ac:dyDescent="0.3">
      <c r="F504" s="2"/>
      <c r="G504" s="3"/>
    </row>
    <row r="505" spans="6:7" x14ac:dyDescent="0.3">
      <c r="F505" s="2"/>
      <c r="G505" s="3"/>
    </row>
    <row r="506" spans="6:7" x14ac:dyDescent="0.3">
      <c r="F506" s="2"/>
      <c r="G506" s="3"/>
    </row>
    <row r="507" spans="6:7" x14ac:dyDescent="0.3">
      <c r="F507" s="2"/>
      <c r="G507" s="3"/>
    </row>
    <row r="508" spans="6:7" x14ac:dyDescent="0.3">
      <c r="F508" s="2"/>
      <c r="G508" s="3"/>
    </row>
    <row r="509" spans="6:7" x14ac:dyDescent="0.3">
      <c r="F509" s="2"/>
      <c r="G509" s="3"/>
    </row>
    <row r="510" spans="6:7" x14ac:dyDescent="0.3">
      <c r="F510" s="2"/>
      <c r="G510" s="3"/>
    </row>
    <row r="511" spans="6:7" x14ac:dyDescent="0.3">
      <c r="F511" s="2"/>
      <c r="G511" s="3"/>
    </row>
    <row r="512" spans="6:7" x14ac:dyDescent="0.3">
      <c r="F512" s="2"/>
      <c r="G512" s="3"/>
    </row>
    <row r="513" spans="6:7" x14ac:dyDescent="0.3">
      <c r="F513" s="2"/>
      <c r="G513" s="3"/>
    </row>
    <row r="514" spans="6:7" x14ac:dyDescent="0.3">
      <c r="F514" s="2"/>
      <c r="G514" s="3"/>
    </row>
    <row r="515" spans="6:7" x14ac:dyDescent="0.3">
      <c r="F515" s="2"/>
      <c r="G515" s="3"/>
    </row>
    <row r="516" spans="6:7" x14ac:dyDescent="0.3">
      <c r="F516" s="2"/>
      <c r="G516" s="3"/>
    </row>
    <row r="517" spans="6:7" x14ac:dyDescent="0.3">
      <c r="F517" s="2"/>
      <c r="G517" s="3"/>
    </row>
    <row r="518" spans="6:7" x14ac:dyDescent="0.3">
      <c r="F518" s="2"/>
      <c r="G518" s="3"/>
    </row>
    <row r="519" spans="6:7" x14ac:dyDescent="0.3">
      <c r="F519" s="2"/>
      <c r="G519" s="3"/>
    </row>
    <row r="520" spans="6:7" x14ac:dyDescent="0.3">
      <c r="F520" s="2"/>
      <c r="G520" s="3"/>
    </row>
    <row r="521" spans="6:7" x14ac:dyDescent="0.3">
      <c r="F521" s="2"/>
      <c r="G521" s="3"/>
    </row>
    <row r="522" spans="6:7" x14ac:dyDescent="0.3">
      <c r="F522" s="2"/>
      <c r="G522" s="3"/>
    </row>
    <row r="523" spans="6:7" x14ac:dyDescent="0.3">
      <c r="F523" s="2"/>
      <c r="G523" s="3"/>
    </row>
    <row r="524" spans="6:7" x14ac:dyDescent="0.3">
      <c r="F524" s="2"/>
      <c r="G524" s="3"/>
    </row>
    <row r="525" spans="6:7" x14ac:dyDescent="0.3">
      <c r="F525" s="2"/>
      <c r="G525" s="3"/>
    </row>
    <row r="526" spans="6:7" x14ac:dyDescent="0.3">
      <c r="F526" s="2"/>
      <c r="G526" s="3"/>
    </row>
    <row r="527" spans="6:7" x14ac:dyDescent="0.3">
      <c r="F527" s="2"/>
      <c r="G527" s="3"/>
    </row>
    <row r="528" spans="6:7" x14ac:dyDescent="0.3">
      <c r="F528" s="2"/>
      <c r="G528" s="3"/>
    </row>
    <row r="529" spans="6:7" x14ac:dyDescent="0.3">
      <c r="F529" s="2"/>
      <c r="G529" s="3"/>
    </row>
    <row r="530" spans="6:7" x14ac:dyDescent="0.3">
      <c r="F530" s="2"/>
      <c r="G530" s="3"/>
    </row>
    <row r="531" spans="6:7" x14ac:dyDescent="0.3">
      <c r="F531" s="2"/>
      <c r="G531" s="3"/>
    </row>
    <row r="532" spans="6:7" x14ac:dyDescent="0.3">
      <c r="F532" s="2"/>
      <c r="G532" s="3"/>
    </row>
    <row r="533" spans="6:7" x14ac:dyDescent="0.3">
      <c r="F533" s="2"/>
      <c r="G533" s="3"/>
    </row>
    <row r="534" spans="6:7" x14ac:dyDescent="0.3">
      <c r="F534" s="2"/>
      <c r="G534" s="3"/>
    </row>
    <row r="535" spans="6:7" x14ac:dyDescent="0.3">
      <c r="F535" s="2"/>
      <c r="G535" s="3"/>
    </row>
    <row r="536" spans="6:7" x14ac:dyDescent="0.3">
      <c r="F536" s="2"/>
      <c r="G536" s="3"/>
    </row>
    <row r="537" spans="6:7" x14ac:dyDescent="0.3">
      <c r="F537" s="2"/>
      <c r="G537" s="3"/>
    </row>
    <row r="538" spans="6:7" x14ac:dyDescent="0.3">
      <c r="F538" s="2"/>
      <c r="G538" s="3"/>
    </row>
    <row r="539" spans="6:7" x14ac:dyDescent="0.3">
      <c r="F539" s="2"/>
      <c r="G539" s="3"/>
    </row>
    <row r="540" spans="6:7" x14ac:dyDescent="0.3">
      <c r="F540" s="2"/>
      <c r="G540" s="3"/>
    </row>
    <row r="541" spans="6:7" x14ac:dyDescent="0.3">
      <c r="F541" s="2"/>
      <c r="G541" s="3"/>
    </row>
    <row r="542" spans="6:7" x14ac:dyDescent="0.3">
      <c r="F542" s="2"/>
      <c r="G542" s="3"/>
    </row>
    <row r="543" spans="6:7" x14ac:dyDescent="0.3">
      <c r="F543" s="2"/>
      <c r="G543" s="3"/>
    </row>
    <row r="544" spans="6:7" x14ac:dyDescent="0.3">
      <c r="F544" s="2"/>
      <c r="G544" s="3"/>
    </row>
    <row r="545" spans="6:7" x14ac:dyDescent="0.3">
      <c r="F545" s="2"/>
      <c r="G545" s="3"/>
    </row>
    <row r="546" spans="6:7" x14ac:dyDescent="0.3">
      <c r="F546" s="2"/>
      <c r="G546" s="3"/>
    </row>
    <row r="547" spans="6:7" x14ac:dyDescent="0.3">
      <c r="F547" s="2"/>
      <c r="G547" s="3"/>
    </row>
    <row r="548" spans="6:7" x14ac:dyDescent="0.3">
      <c r="F548" s="2"/>
      <c r="G548" s="3"/>
    </row>
    <row r="549" spans="6:7" x14ac:dyDescent="0.3">
      <c r="F549" s="2"/>
      <c r="G549" s="3"/>
    </row>
    <row r="550" spans="6:7" x14ac:dyDescent="0.3">
      <c r="F550" s="2"/>
      <c r="G550" s="3"/>
    </row>
    <row r="551" spans="6:7" x14ac:dyDescent="0.3">
      <c r="F551" s="2"/>
      <c r="G551" s="3"/>
    </row>
    <row r="552" spans="6:7" x14ac:dyDescent="0.3">
      <c r="F552" s="2"/>
      <c r="G552" s="3"/>
    </row>
    <row r="553" spans="6:7" x14ac:dyDescent="0.3">
      <c r="F553" s="2"/>
      <c r="G553" s="3"/>
    </row>
    <row r="554" spans="6:7" x14ac:dyDescent="0.3">
      <c r="F554" s="2"/>
      <c r="G554" s="3"/>
    </row>
    <row r="555" spans="6:7" x14ac:dyDescent="0.3">
      <c r="F555" s="2"/>
      <c r="G555" s="3"/>
    </row>
    <row r="556" spans="6:7" x14ac:dyDescent="0.3">
      <c r="F556" s="2"/>
      <c r="G556" s="3"/>
    </row>
    <row r="557" spans="6:7" x14ac:dyDescent="0.3">
      <c r="F557" s="2"/>
      <c r="G557" s="3"/>
    </row>
    <row r="558" spans="6:7" x14ac:dyDescent="0.3">
      <c r="F558" s="2"/>
      <c r="G558" s="3"/>
    </row>
    <row r="559" spans="6:7" x14ac:dyDescent="0.3">
      <c r="F559" s="2"/>
      <c r="G559" s="3"/>
    </row>
    <row r="560" spans="6:7" x14ac:dyDescent="0.3">
      <c r="F560" s="2"/>
      <c r="G560" s="3"/>
    </row>
    <row r="561" spans="6:7" x14ac:dyDescent="0.3">
      <c r="F561" s="2"/>
      <c r="G561" s="3"/>
    </row>
    <row r="562" spans="6:7" x14ac:dyDescent="0.3">
      <c r="F562" s="2"/>
      <c r="G562" s="3"/>
    </row>
    <row r="563" spans="6:7" x14ac:dyDescent="0.3">
      <c r="F563" s="2"/>
      <c r="G563" s="3"/>
    </row>
    <row r="564" spans="6:7" x14ac:dyDescent="0.3">
      <c r="F564" s="2"/>
      <c r="G564" s="3"/>
    </row>
    <row r="565" spans="6:7" x14ac:dyDescent="0.3">
      <c r="F565" s="2"/>
      <c r="G565" s="3"/>
    </row>
    <row r="566" spans="6:7" x14ac:dyDescent="0.3">
      <c r="F566" s="2"/>
      <c r="G566" s="3"/>
    </row>
    <row r="567" spans="6:7" x14ac:dyDescent="0.3">
      <c r="F567" s="2"/>
      <c r="G567" s="3"/>
    </row>
    <row r="568" spans="6:7" x14ac:dyDescent="0.3">
      <c r="F568" s="2"/>
      <c r="G568" s="3"/>
    </row>
    <row r="569" spans="6:7" x14ac:dyDescent="0.3">
      <c r="F569" s="2"/>
      <c r="G569" s="3"/>
    </row>
    <row r="570" spans="6:7" x14ac:dyDescent="0.3">
      <c r="F570" s="2"/>
      <c r="G570" s="3"/>
    </row>
    <row r="571" spans="6:7" x14ac:dyDescent="0.3">
      <c r="F571" s="2"/>
      <c r="G571" s="3"/>
    </row>
    <row r="572" spans="6:7" x14ac:dyDescent="0.3">
      <c r="F572" s="2"/>
      <c r="G572" s="3"/>
    </row>
    <row r="573" spans="6:7" x14ac:dyDescent="0.3">
      <c r="F573" s="2"/>
      <c r="G573" s="3"/>
    </row>
    <row r="574" spans="6:7" x14ac:dyDescent="0.3">
      <c r="F574" s="2"/>
      <c r="G574" s="3"/>
    </row>
    <row r="575" spans="6:7" x14ac:dyDescent="0.3">
      <c r="F575" s="2"/>
      <c r="G575" s="3"/>
    </row>
    <row r="576" spans="6:7" x14ac:dyDescent="0.3">
      <c r="F576" s="2"/>
      <c r="G576" s="3"/>
    </row>
    <row r="577" spans="6:7" x14ac:dyDescent="0.3">
      <c r="F577" s="2"/>
      <c r="G577" s="3"/>
    </row>
    <row r="578" spans="6:7" x14ac:dyDescent="0.3">
      <c r="F578" s="2"/>
      <c r="G578" s="3"/>
    </row>
    <row r="579" spans="6:7" x14ac:dyDescent="0.3">
      <c r="F579" s="2"/>
      <c r="G579" s="3"/>
    </row>
    <row r="580" spans="6:7" x14ac:dyDescent="0.3">
      <c r="F580" s="2"/>
      <c r="G580" s="3"/>
    </row>
    <row r="581" spans="6:7" x14ac:dyDescent="0.3">
      <c r="F581" s="2"/>
      <c r="G581" s="3"/>
    </row>
    <row r="582" spans="6:7" x14ac:dyDescent="0.3">
      <c r="F582" s="2"/>
      <c r="G582" s="3"/>
    </row>
    <row r="583" spans="6:7" x14ac:dyDescent="0.3">
      <c r="F583" s="2"/>
      <c r="G583" s="3"/>
    </row>
    <row r="584" spans="6:7" x14ac:dyDescent="0.3">
      <c r="F584" s="2"/>
      <c r="G584" s="3"/>
    </row>
    <row r="585" spans="6:7" x14ac:dyDescent="0.3">
      <c r="F585" s="2"/>
      <c r="G585" s="3"/>
    </row>
    <row r="586" spans="6:7" x14ac:dyDescent="0.3">
      <c r="F586" s="2"/>
      <c r="G586" s="3"/>
    </row>
    <row r="587" spans="6:7" x14ac:dyDescent="0.3">
      <c r="F587" s="2"/>
      <c r="G587" s="3"/>
    </row>
    <row r="588" spans="6:7" x14ac:dyDescent="0.3">
      <c r="F588" s="2"/>
      <c r="G588" s="3"/>
    </row>
    <row r="589" spans="6:7" x14ac:dyDescent="0.3">
      <c r="F589" s="2"/>
      <c r="G589" s="3"/>
    </row>
    <row r="590" spans="6:7" x14ac:dyDescent="0.3">
      <c r="F590" s="2"/>
      <c r="G590" s="3"/>
    </row>
    <row r="591" spans="6:7" x14ac:dyDescent="0.3">
      <c r="F591" s="2"/>
      <c r="G591" s="3"/>
    </row>
    <row r="592" spans="6:7" x14ac:dyDescent="0.3">
      <c r="F592" s="2"/>
      <c r="G592" s="3"/>
    </row>
    <row r="593" spans="6:7" x14ac:dyDescent="0.3">
      <c r="F593" s="2"/>
      <c r="G593" s="3"/>
    </row>
    <row r="594" spans="6:7" x14ac:dyDescent="0.3">
      <c r="F594" s="2"/>
      <c r="G594" s="3"/>
    </row>
    <row r="595" spans="6:7" x14ac:dyDescent="0.3">
      <c r="F595" s="2"/>
      <c r="G595" s="3"/>
    </row>
    <row r="596" spans="6:7" x14ac:dyDescent="0.3">
      <c r="F596" s="2"/>
      <c r="G596" s="3"/>
    </row>
    <row r="597" spans="6:7" x14ac:dyDescent="0.3">
      <c r="F597" s="2"/>
      <c r="G597" s="3"/>
    </row>
    <row r="598" spans="6:7" x14ac:dyDescent="0.3">
      <c r="F598" s="2"/>
      <c r="G598" s="3"/>
    </row>
    <row r="599" spans="6:7" x14ac:dyDescent="0.3">
      <c r="F599" s="2"/>
      <c r="G599" s="3"/>
    </row>
    <row r="600" spans="6:7" x14ac:dyDescent="0.3">
      <c r="F600" s="2"/>
      <c r="G600" s="3"/>
    </row>
    <row r="601" spans="6:7" x14ac:dyDescent="0.3">
      <c r="F601" s="2"/>
      <c r="G601" s="3"/>
    </row>
    <row r="602" spans="6:7" x14ac:dyDescent="0.3">
      <c r="F602" s="2"/>
      <c r="G602" s="3"/>
    </row>
    <row r="603" spans="6:7" x14ac:dyDescent="0.3">
      <c r="F603" s="2"/>
      <c r="G603" s="3"/>
    </row>
    <row r="604" spans="6:7" x14ac:dyDescent="0.3">
      <c r="F604" s="2"/>
      <c r="G604" s="3"/>
    </row>
    <row r="605" spans="6:7" x14ac:dyDescent="0.3">
      <c r="F605" s="2"/>
      <c r="G605" s="3"/>
    </row>
    <row r="606" spans="6:7" x14ac:dyDescent="0.3">
      <c r="F606" s="2"/>
      <c r="G606" s="3"/>
    </row>
    <row r="607" spans="6:7" x14ac:dyDescent="0.3">
      <c r="F607" s="2"/>
      <c r="G607" s="3"/>
    </row>
    <row r="608" spans="6:7" x14ac:dyDescent="0.3">
      <c r="F608" s="2"/>
      <c r="G608" s="3"/>
    </row>
    <row r="609" spans="6:7" x14ac:dyDescent="0.3">
      <c r="F609" s="2"/>
      <c r="G609" s="3"/>
    </row>
    <row r="610" spans="6:7" x14ac:dyDescent="0.3">
      <c r="F610" s="2"/>
      <c r="G610" s="3"/>
    </row>
    <row r="611" spans="6:7" x14ac:dyDescent="0.3">
      <c r="F611" s="2"/>
      <c r="G611" s="3"/>
    </row>
    <row r="612" spans="6:7" x14ac:dyDescent="0.3">
      <c r="F612" s="2"/>
      <c r="G612" s="3"/>
    </row>
    <row r="613" spans="6:7" x14ac:dyDescent="0.3">
      <c r="F613" s="2"/>
      <c r="G613" s="3"/>
    </row>
    <row r="614" spans="6:7" x14ac:dyDescent="0.3">
      <c r="F614" s="2"/>
      <c r="G614" s="3"/>
    </row>
    <row r="615" spans="6:7" x14ac:dyDescent="0.3">
      <c r="F615" s="2"/>
      <c r="G615" s="3"/>
    </row>
    <row r="616" spans="6:7" x14ac:dyDescent="0.3">
      <c r="F616" s="2"/>
      <c r="G616" s="3"/>
    </row>
    <row r="617" spans="6:7" x14ac:dyDescent="0.3">
      <c r="F617" s="2"/>
      <c r="G617" s="3"/>
    </row>
    <row r="618" spans="6:7" x14ac:dyDescent="0.3">
      <c r="F618" s="2"/>
      <c r="G618" s="3"/>
    </row>
    <row r="619" spans="6:7" x14ac:dyDescent="0.3">
      <c r="F619" s="2"/>
      <c r="G619" s="3"/>
    </row>
    <row r="620" spans="6:7" x14ac:dyDescent="0.3">
      <c r="F620" s="2"/>
      <c r="G620" s="3"/>
    </row>
    <row r="621" spans="6:7" x14ac:dyDescent="0.3">
      <c r="F621" s="2"/>
      <c r="G621" s="3"/>
    </row>
    <row r="622" spans="6:7" x14ac:dyDescent="0.3">
      <c r="F622" s="2"/>
      <c r="G622" s="3"/>
    </row>
    <row r="623" spans="6:7" x14ac:dyDescent="0.3">
      <c r="F623" s="2"/>
      <c r="G623" s="3"/>
    </row>
    <row r="624" spans="6:7" x14ac:dyDescent="0.3">
      <c r="F624" s="2"/>
      <c r="G624" s="3"/>
    </row>
    <row r="625" spans="6:7" x14ac:dyDescent="0.3">
      <c r="F625" s="2"/>
      <c r="G625" s="3"/>
    </row>
    <row r="626" spans="6:7" x14ac:dyDescent="0.3">
      <c r="F626" s="2"/>
      <c r="G626" s="3"/>
    </row>
    <row r="627" spans="6:7" x14ac:dyDescent="0.3">
      <c r="F627" s="2"/>
      <c r="G627" s="3"/>
    </row>
    <row r="628" spans="6:7" x14ac:dyDescent="0.3">
      <c r="F628" s="2"/>
      <c r="G628" s="3"/>
    </row>
    <row r="629" spans="6:7" x14ac:dyDescent="0.3">
      <c r="F629" s="2"/>
      <c r="G629" s="3"/>
    </row>
    <row r="630" spans="6:7" x14ac:dyDescent="0.3">
      <c r="F630" s="2"/>
      <c r="G630" s="3"/>
    </row>
    <row r="631" spans="6:7" x14ac:dyDescent="0.3">
      <c r="F631" s="2"/>
      <c r="G631" s="3"/>
    </row>
    <row r="632" spans="6:7" x14ac:dyDescent="0.3">
      <c r="F632" s="2"/>
      <c r="G632" s="3"/>
    </row>
    <row r="633" spans="6:7" x14ac:dyDescent="0.3">
      <c r="F633" s="2"/>
      <c r="G633" s="3"/>
    </row>
    <row r="634" spans="6:7" x14ac:dyDescent="0.3">
      <c r="F634" s="2"/>
      <c r="G634" s="3"/>
    </row>
    <row r="635" spans="6:7" x14ac:dyDescent="0.3">
      <c r="F635" s="2"/>
      <c r="G635" s="3"/>
    </row>
    <row r="636" spans="6:7" x14ac:dyDescent="0.3">
      <c r="F636" s="2"/>
      <c r="G636" s="3"/>
    </row>
    <row r="637" spans="6:7" x14ac:dyDescent="0.3">
      <c r="F637" s="2"/>
      <c r="G637" s="3"/>
    </row>
    <row r="638" spans="6:7" x14ac:dyDescent="0.3">
      <c r="F638" s="2"/>
      <c r="G638" s="3"/>
    </row>
    <row r="639" spans="6:7" x14ac:dyDescent="0.3">
      <c r="F639" s="2"/>
      <c r="G639" s="3"/>
    </row>
    <row r="640" spans="6:7" x14ac:dyDescent="0.3">
      <c r="F640" s="2"/>
      <c r="G640" s="3"/>
    </row>
    <row r="641" spans="6:7" x14ac:dyDescent="0.3">
      <c r="F641" s="2"/>
      <c r="G641" s="3"/>
    </row>
    <row r="642" spans="6:7" x14ac:dyDescent="0.3">
      <c r="F642" s="2"/>
      <c r="G642" s="3"/>
    </row>
    <row r="643" spans="6:7" x14ac:dyDescent="0.3">
      <c r="F643" s="2"/>
      <c r="G643" s="3"/>
    </row>
    <row r="644" spans="6:7" x14ac:dyDescent="0.3">
      <c r="F644" s="2"/>
      <c r="G644" s="3"/>
    </row>
    <row r="645" spans="6:7" x14ac:dyDescent="0.3">
      <c r="F645" s="2"/>
      <c r="G645" s="3"/>
    </row>
    <row r="646" spans="6:7" x14ac:dyDescent="0.3">
      <c r="F646" s="2"/>
      <c r="G646" s="3"/>
    </row>
    <row r="647" spans="6:7" x14ac:dyDescent="0.3">
      <c r="F647" s="2"/>
      <c r="G647" s="3"/>
    </row>
    <row r="648" spans="6:7" x14ac:dyDescent="0.3">
      <c r="F648" s="2"/>
      <c r="G648" s="3"/>
    </row>
    <row r="649" spans="6:7" x14ac:dyDescent="0.3">
      <c r="F649" s="2"/>
      <c r="G649" s="3"/>
    </row>
    <row r="650" spans="6:7" x14ac:dyDescent="0.3">
      <c r="F650" s="2"/>
      <c r="G650" s="3"/>
    </row>
    <row r="651" spans="6:7" x14ac:dyDescent="0.3">
      <c r="F651" s="2"/>
      <c r="G651" s="3"/>
    </row>
    <row r="652" spans="6:7" x14ac:dyDescent="0.3">
      <c r="F652" s="2"/>
      <c r="G652" s="3"/>
    </row>
    <row r="653" spans="6:7" x14ac:dyDescent="0.3">
      <c r="F653" s="2"/>
      <c r="G653" s="3"/>
    </row>
    <row r="654" spans="6:7" x14ac:dyDescent="0.3">
      <c r="F654" s="2"/>
      <c r="G654" s="3"/>
    </row>
    <row r="655" spans="6:7" x14ac:dyDescent="0.3">
      <c r="F655" s="2"/>
      <c r="G655" s="3"/>
    </row>
    <row r="656" spans="6:7" x14ac:dyDescent="0.3">
      <c r="F656" s="2"/>
      <c r="G656" s="3"/>
    </row>
    <row r="657" spans="6:7" x14ac:dyDescent="0.3">
      <c r="F657" s="2"/>
      <c r="G657" s="3"/>
    </row>
    <row r="658" spans="6:7" x14ac:dyDescent="0.3">
      <c r="F658" s="2"/>
      <c r="G658" s="3"/>
    </row>
  </sheetData>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CE3F2-0579-4AB1-8F5F-253C7C1A7512}">
  <dimension ref="B1:J22"/>
  <sheetViews>
    <sheetView showGridLines="0" workbookViewId="0">
      <selection activeCell="C12" sqref="C12"/>
    </sheetView>
  </sheetViews>
  <sheetFormatPr defaultRowHeight="14.4" x14ac:dyDescent="0.3"/>
  <cols>
    <col min="3" max="3" width="11.5546875" customWidth="1"/>
    <col min="5" max="5" width="9.44140625" bestFit="1" customWidth="1"/>
  </cols>
  <sheetData>
    <row r="1" spans="2:10" s="33" customFormat="1" ht="61.2" x14ac:dyDescent="1.1000000000000001">
      <c r="B1" s="83" t="s">
        <v>63</v>
      </c>
      <c r="D1" s="83"/>
      <c r="E1" s="83"/>
      <c r="F1" s="83"/>
      <c r="G1" s="83"/>
      <c r="H1" s="34"/>
      <c r="I1" s="34"/>
      <c r="J1" s="34"/>
    </row>
    <row r="3" spans="2:10" x14ac:dyDescent="0.3">
      <c r="B3" s="12"/>
      <c r="C3" s="12"/>
      <c r="D3" s="12"/>
      <c r="E3" s="12"/>
    </row>
    <row r="4" spans="2:10" ht="15" thickBot="1" x14ac:dyDescent="0.35">
      <c r="C4" s="12"/>
      <c r="D4" s="12"/>
      <c r="E4" s="12"/>
    </row>
    <row r="5" spans="2:10" x14ac:dyDescent="0.3">
      <c r="B5" s="12"/>
      <c r="C5" s="69" t="s">
        <v>46</v>
      </c>
      <c r="D5" s="70">
        <f>AVERAGE(data[Amount])</f>
        <v>4136.2299999999996</v>
      </c>
      <c r="E5" s="12"/>
    </row>
    <row r="6" spans="2:10" ht="15" thickBot="1" x14ac:dyDescent="0.35">
      <c r="B6" s="12"/>
      <c r="C6" s="71" t="s">
        <v>45</v>
      </c>
      <c r="D6" s="72">
        <f>AVERAGE(data[Units])</f>
        <v>152.19999999999999</v>
      </c>
      <c r="E6" s="12"/>
    </row>
    <row r="9" spans="2:10" ht="15" thickBot="1" x14ac:dyDescent="0.35"/>
    <row r="10" spans="2:10" x14ac:dyDescent="0.3">
      <c r="C10" s="73"/>
      <c r="D10" s="74" t="s">
        <v>1</v>
      </c>
      <c r="E10" s="75" t="s">
        <v>43</v>
      </c>
    </row>
    <row r="11" spans="2:10" x14ac:dyDescent="0.3">
      <c r="C11" s="76" t="s">
        <v>47</v>
      </c>
      <c r="D11" s="13">
        <f>AVERAGE(data[Amount])</f>
        <v>4136.2299999999996</v>
      </c>
      <c r="E11" s="77">
        <f>AVERAGE(data[Units])</f>
        <v>152.19999999999999</v>
      </c>
    </row>
    <row r="12" spans="2:10" x14ac:dyDescent="0.3">
      <c r="C12" s="76" t="s">
        <v>48</v>
      </c>
      <c r="D12" s="13">
        <f>MEDIAN(data[Amount])</f>
        <v>3437</v>
      </c>
      <c r="E12" s="77">
        <f>MEDIAN(data[Units])</f>
        <v>124.5</v>
      </c>
    </row>
    <row r="13" spans="2:10" x14ac:dyDescent="0.3">
      <c r="C13" s="76" t="s">
        <v>49</v>
      </c>
      <c r="D13" s="13">
        <f>MIN(data[Amount])</f>
        <v>0</v>
      </c>
      <c r="E13" s="77">
        <f>MIN(data[Units])</f>
        <v>0</v>
      </c>
    </row>
    <row r="14" spans="2:10" x14ac:dyDescent="0.3">
      <c r="C14" s="76" t="s">
        <v>50</v>
      </c>
      <c r="D14" s="13">
        <f>MAX(data[Amount])</f>
        <v>16184</v>
      </c>
      <c r="E14" s="77">
        <f>MAX(data[Units])</f>
        <v>525</v>
      </c>
    </row>
    <row r="15" spans="2:10" ht="15" thickBot="1" x14ac:dyDescent="0.35">
      <c r="C15" s="71" t="s">
        <v>51</v>
      </c>
      <c r="D15" s="78">
        <f xml:space="preserve"> D14-D13</f>
        <v>16184</v>
      </c>
      <c r="E15" s="72">
        <f xml:space="preserve"> E14-E13</f>
        <v>525</v>
      </c>
    </row>
    <row r="17" spans="3:7" ht="15" thickBot="1" x14ac:dyDescent="0.35"/>
    <row r="18" spans="3:7" x14ac:dyDescent="0.3">
      <c r="C18" s="69" t="s">
        <v>52</v>
      </c>
      <c r="D18" s="79">
        <f>_xlfn.PERCENTILE.EXC(data[Amount], 0.25)</f>
        <v>1652</v>
      </c>
      <c r="E18" s="70">
        <f>_xlfn.PERCENTILE.EXC(data[Units], 0.25)</f>
        <v>54</v>
      </c>
      <c r="F18" t="s">
        <v>61</v>
      </c>
    </row>
    <row r="19" spans="3:7" ht="15" thickBot="1" x14ac:dyDescent="0.35">
      <c r="C19" s="71" t="s">
        <v>53</v>
      </c>
      <c r="D19" s="78">
        <f>_xlfn.PERCENTILE.EXC(data[Amount], 0.75)</f>
        <v>6245.75</v>
      </c>
      <c r="E19" s="72">
        <f>_xlfn.PERCENTILE.EXC(data[Units], 0.75)</f>
        <v>223.5</v>
      </c>
      <c r="F19" t="s">
        <v>62</v>
      </c>
    </row>
    <row r="21" spans="3:7" ht="15" thickBot="1" x14ac:dyDescent="0.35"/>
    <row r="22" spans="3:7" ht="15" thickBot="1" x14ac:dyDescent="0.35">
      <c r="C22" s="80" t="s">
        <v>54</v>
      </c>
      <c r="D22" s="81"/>
      <c r="E22" s="81"/>
      <c r="F22" s="82">
        <f>COUNTA(_xlfn.UNIQUE(data[Product]))</f>
        <v>22</v>
      </c>
      <c r="G22" t="s">
        <v>60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CC469-17CC-42B3-BF4E-F1A793399FCF}">
  <dimension ref="B1:U305"/>
  <sheetViews>
    <sheetView showGridLines="0" zoomScale="70" zoomScaleNormal="70" workbookViewId="0">
      <selection activeCell="I43" sqref="I43"/>
    </sheetView>
  </sheetViews>
  <sheetFormatPr defaultRowHeight="14.4" x14ac:dyDescent="0.3"/>
  <cols>
    <col min="3" max="3" width="15.109375" bestFit="1" customWidth="1"/>
    <col min="4" max="4" width="11.5546875" customWidth="1"/>
    <col min="5" max="5" width="20.21875" bestFit="1" customWidth="1"/>
    <col min="6" max="6" width="12" customWidth="1"/>
    <col min="7" max="7" width="15.77734375" customWidth="1"/>
    <col min="8" max="8" width="12.21875" customWidth="1"/>
    <col min="9" max="9" width="12.44140625" customWidth="1"/>
    <col min="10" max="10" width="16.5546875" customWidth="1"/>
    <col min="11" max="11" width="11.77734375" bestFit="1" customWidth="1"/>
    <col min="12" max="12" width="20.21875" bestFit="1" customWidth="1"/>
    <col min="13" max="13" width="11.6640625" customWidth="1"/>
    <col min="14" max="14" width="12.77734375" customWidth="1"/>
    <col min="17" max="17" width="16.33203125" customWidth="1"/>
    <col min="18" max="18" width="14.6640625" customWidth="1"/>
    <col min="19" max="19" width="21.88671875" customWidth="1"/>
    <col min="20" max="20" width="11.44140625" customWidth="1"/>
    <col min="21" max="21" width="11" customWidth="1"/>
  </cols>
  <sheetData>
    <row r="1" spans="2:21" ht="61.2" x14ac:dyDescent="1.1000000000000001">
      <c r="B1" s="14"/>
      <c r="C1" s="25" t="s">
        <v>75</v>
      </c>
      <c r="D1" s="14"/>
      <c r="E1" s="14"/>
      <c r="F1" s="14"/>
      <c r="G1" s="14"/>
      <c r="H1" s="14"/>
      <c r="I1" s="14"/>
      <c r="J1" s="14"/>
      <c r="K1" s="14"/>
      <c r="L1" s="14"/>
      <c r="M1" s="14"/>
      <c r="N1" s="14"/>
      <c r="O1" s="14"/>
      <c r="P1" s="14"/>
      <c r="Q1" s="14"/>
      <c r="R1" s="14"/>
      <c r="S1" s="14"/>
    </row>
    <row r="2" spans="2:21" ht="28.8" x14ac:dyDescent="0.55000000000000004">
      <c r="C2" s="10" t="s">
        <v>55</v>
      </c>
      <c r="J2" s="9" t="s">
        <v>57</v>
      </c>
      <c r="Q2" s="11" t="s">
        <v>59</v>
      </c>
    </row>
    <row r="3" spans="2:21" ht="28.8" x14ac:dyDescent="0.55000000000000004">
      <c r="C3" s="10" t="s">
        <v>56</v>
      </c>
      <c r="J3" s="9" t="s">
        <v>58</v>
      </c>
    </row>
    <row r="5" spans="2:21" x14ac:dyDescent="0.3">
      <c r="C5" s="4" t="s">
        <v>11</v>
      </c>
      <c r="D5" s="4" t="s">
        <v>12</v>
      </c>
      <c r="E5" s="4" t="s">
        <v>0</v>
      </c>
      <c r="F5" s="7" t="s">
        <v>1</v>
      </c>
      <c r="G5" s="7" t="s">
        <v>43</v>
      </c>
      <c r="J5" s="4" t="s">
        <v>11</v>
      </c>
      <c r="K5" s="4" t="s">
        <v>12</v>
      </c>
      <c r="L5" s="4" t="s">
        <v>0</v>
      </c>
      <c r="M5" s="7" t="s">
        <v>1</v>
      </c>
      <c r="N5" s="7" t="s">
        <v>43</v>
      </c>
      <c r="Q5" s="4" t="s">
        <v>11</v>
      </c>
      <c r="R5" s="4" t="s">
        <v>12</v>
      </c>
      <c r="S5" s="4" t="s">
        <v>0</v>
      </c>
      <c r="T5" s="7" t="s">
        <v>1</v>
      </c>
      <c r="U5" s="7" t="s">
        <v>43</v>
      </c>
    </row>
    <row r="6" spans="2:21" x14ac:dyDescent="0.3">
      <c r="C6" t="s">
        <v>10</v>
      </c>
      <c r="D6" t="s">
        <v>38</v>
      </c>
      <c r="E6" t="s">
        <v>14</v>
      </c>
      <c r="F6" s="2">
        <v>5586</v>
      </c>
      <c r="G6" s="3">
        <v>525</v>
      </c>
      <c r="J6" t="s">
        <v>5</v>
      </c>
      <c r="K6" t="s">
        <v>36</v>
      </c>
      <c r="L6" t="s">
        <v>16</v>
      </c>
      <c r="M6" s="2">
        <v>16184</v>
      </c>
      <c r="N6" s="3">
        <v>39</v>
      </c>
      <c r="Q6" t="s">
        <v>10</v>
      </c>
      <c r="R6" t="s">
        <v>38</v>
      </c>
      <c r="S6" t="s">
        <v>14</v>
      </c>
      <c r="T6" s="2">
        <v>5586</v>
      </c>
      <c r="U6" s="3">
        <v>525</v>
      </c>
    </row>
    <row r="7" spans="2:21" x14ac:dyDescent="0.3">
      <c r="C7" t="s">
        <v>2</v>
      </c>
      <c r="D7" t="s">
        <v>36</v>
      </c>
      <c r="E7" t="s">
        <v>27</v>
      </c>
      <c r="F7" s="2">
        <v>798</v>
      </c>
      <c r="G7" s="3">
        <v>519</v>
      </c>
      <c r="J7" t="s">
        <v>5</v>
      </c>
      <c r="K7" t="s">
        <v>34</v>
      </c>
      <c r="L7" t="s">
        <v>20</v>
      </c>
      <c r="M7" s="2">
        <v>15610</v>
      </c>
      <c r="N7" s="3">
        <v>339</v>
      </c>
      <c r="Q7" t="s">
        <v>2</v>
      </c>
      <c r="R7" t="s">
        <v>36</v>
      </c>
      <c r="S7" t="s">
        <v>27</v>
      </c>
      <c r="T7" s="2">
        <v>798</v>
      </c>
      <c r="U7" s="3">
        <v>519</v>
      </c>
    </row>
    <row r="8" spans="2:21" x14ac:dyDescent="0.3">
      <c r="C8" t="s">
        <v>8</v>
      </c>
      <c r="D8" t="s">
        <v>38</v>
      </c>
      <c r="E8" t="s">
        <v>13</v>
      </c>
      <c r="F8" s="2">
        <v>819</v>
      </c>
      <c r="G8" s="3">
        <v>510</v>
      </c>
      <c r="J8" t="s">
        <v>9</v>
      </c>
      <c r="K8" t="s">
        <v>34</v>
      </c>
      <c r="L8" t="s">
        <v>28</v>
      </c>
      <c r="M8" s="2">
        <v>14329</v>
      </c>
      <c r="N8" s="3">
        <v>150</v>
      </c>
      <c r="Q8" t="s">
        <v>8</v>
      </c>
      <c r="R8" t="s">
        <v>38</v>
      </c>
      <c r="S8" t="s">
        <v>13</v>
      </c>
      <c r="T8" s="2">
        <v>819</v>
      </c>
      <c r="U8" s="3">
        <v>510</v>
      </c>
    </row>
    <row r="9" spans="2:21" x14ac:dyDescent="0.3">
      <c r="C9" t="s">
        <v>3</v>
      </c>
      <c r="D9" t="s">
        <v>34</v>
      </c>
      <c r="E9" t="s">
        <v>32</v>
      </c>
      <c r="F9" s="2">
        <v>7777</v>
      </c>
      <c r="G9" s="3">
        <v>504</v>
      </c>
      <c r="J9" t="s">
        <v>5</v>
      </c>
      <c r="K9" t="s">
        <v>35</v>
      </c>
      <c r="L9" t="s">
        <v>15</v>
      </c>
      <c r="M9" s="2">
        <v>13391</v>
      </c>
      <c r="N9" s="3">
        <v>201</v>
      </c>
      <c r="Q9" t="s">
        <v>3</v>
      </c>
      <c r="R9" t="s">
        <v>34</v>
      </c>
      <c r="S9" t="s">
        <v>32</v>
      </c>
      <c r="T9" s="2">
        <v>7777</v>
      </c>
      <c r="U9" s="3">
        <v>504</v>
      </c>
    </row>
    <row r="10" spans="2:21" x14ac:dyDescent="0.3">
      <c r="C10" t="s">
        <v>9</v>
      </c>
      <c r="D10" t="s">
        <v>34</v>
      </c>
      <c r="E10" t="s">
        <v>20</v>
      </c>
      <c r="F10" s="2">
        <v>8463</v>
      </c>
      <c r="G10" s="3">
        <v>492</v>
      </c>
      <c r="J10" t="s">
        <v>10</v>
      </c>
      <c r="K10" t="s">
        <v>39</v>
      </c>
      <c r="L10" t="s">
        <v>33</v>
      </c>
      <c r="M10" s="2">
        <v>12950</v>
      </c>
      <c r="N10" s="3">
        <v>30</v>
      </c>
      <c r="Q10" t="s">
        <v>9</v>
      </c>
      <c r="R10" t="s">
        <v>34</v>
      </c>
      <c r="S10" t="s">
        <v>20</v>
      </c>
      <c r="T10" s="2">
        <v>8463</v>
      </c>
      <c r="U10" s="3">
        <v>492</v>
      </c>
    </row>
    <row r="11" spans="2:21" x14ac:dyDescent="0.3">
      <c r="C11" t="s">
        <v>2</v>
      </c>
      <c r="D11" t="s">
        <v>39</v>
      </c>
      <c r="E11" t="s">
        <v>25</v>
      </c>
      <c r="F11" s="2">
        <v>1785</v>
      </c>
      <c r="G11" s="3">
        <v>462</v>
      </c>
      <c r="J11" t="s">
        <v>40</v>
      </c>
      <c r="K11" t="s">
        <v>35</v>
      </c>
      <c r="L11" t="s">
        <v>32</v>
      </c>
      <c r="M11" s="2">
        <v>12348</v>
      </c>
      <c r="N11" s="3">
        <v>234</v>
      </c>
      <c r="Q11" t="s">
        <v>2</v>
      </c>
      <c r="R11" t="s">
        <v>39</v>
      </c>
      <c r="S11" t="s">
        <v>25</v>
      </c>
      <c r="T11" s="2">
        <v>1785</v>
      </c>
      <c r="U11" s="3">
        <v>462</v>
      </c>
    </row>
    <row r="12" spans="2:21" x14ac:dyDescent="0.3">
      <c r="C12" t="s">
        <v>8</v>
      </c>
      <c r="D12" t="s">
        <v>35</v>
      </c>
      <c r="E12" t="s">
        <v>32</v>
      </c>
      <c r="F12" s="2">
        <v>6706</v>
      </c>
      <c r="G12" s="3">
        <v>459</v>
      </c>
      <c r="J12" t="s">
        <v>2</v>
      </c>
      <c r="K12" t="s">
        <v>37</v>
      </c>
      <c r="L12" t="s">
        <v>18</v>
      </c>
      <c r="M12" s="2">
        <v>11571</v>
      </c>
      <c r="N12" s="3">
        <v>138</v>
      </c>
      <c r="Q12" t="s">
        <v>8</v>
      </c>
      <c r="R12" t="s">
        <v>35</v>
      </c>
      <c r="S12" t="s">
        <v>32</v>
      </c>
      <c r="T12" s="2">
        <v>6706</v>
      </c>
      <c r="U12" s="3">
        <v>459</v>
      </c>
    </row>
    <row r="13" spans="2:21" x14ac:dyDescent="0.3">
      <c r="C13" t="s">
        <v>6</v>
      </c>
      <c r="D13" t="s">
        <v>37</v>
      </c>
      <c r="E13" t="s">
        <v>28</v>
      </c>
      <c r="F13" s="2">
        <v>3556</v>
      </c>
      <c r="G13" s="3">
        <v>459</v>
      </c>
      <c r="J13" t="s">
        <v>9</v>
      </c>
      <c r="K13" t="s">
        <v>36</v>
      </c>
      <c r="L13" t="s">
        <v>27</v>
      </c>
      <c r="M13" s="2">
        <v>11522</v>
      </c>
      <c r="N13" s="3">
        <v>204</v>
      </c>
      <c r="Q13" t="s">
        <v>6</v>
      </c>
      <c r="R13" t="s">
        <v>37</v>
      </c>
      <c r="S13" t="s">
        <v>28</v>
      </c>
      <c r="T13" s="2">
        <v>3556</v>
      </c>
      <c r="U13" s="3">
        <v>459</v>
      </c>
    </row>
    <row r="14" spans="2:21" x14ac:dyDescent="0.3">
      <c r="C14" t="s">
        <v>6</v>
      </c>
      <c r="D14" t="s">
        <v>34</v>
      </c>
      <c r="E14" t="s">
        <v>26</v>
      </c>
      <c r="F14" s="2">
        <v>8008</v>
      </c>
      <c r="G14" s="3">
        <v>456</v>
      </c>
      <c r="J14" t="s">
        <v>2</v>
      </c>
      <c r="K14" t="s">
        <v>36</v>
      </c>
      <c r="L14" t="s">
        <v>16</v>
      </c>
      <c r="M14" s="2">
        <v>11417</v>
      </c>
      <c r="N14" s="3">
        <v>21</v>
      </c>
      <c r="Q14" t="s">
        <v>6</v>
      </c>
      <c r="R14" t="s">
        <v>34</v>
      </c>
      <c r="S14" t="s">
        <v>26</v>
      </c>
      <c r="T14" s="2">
        <v>8008</v>
      </c>
      <c r="U14" s="3">
        <v>456</v>
      </c>
    </row>
    <row r="15" spans="2:21" x14ac:dyDescent="0.3">
      <c r="C15" t="s">
        <v>40</v>
      </c>
      <c r="D15" t="s">
        <v>35</v>
      </c>
      <c r="E15" t="s">
        <v>30</v>
      </c>
      <c r="F15" s="2">
        <v>2275</v>
      </c>
      <c r="G15" s="3">
        <v>447</v>
      </c>
      <c r="J15" t="s">
        <v>41</v>
      </c>
      <c r="K15" t="s">
        <v>36</v>
      </c>
      <c r="L15" t="s">
        <v>13</v>
      </c>
      <c r="M15" s="2">
        <v>10311</v>
      </c>
      <c r="N15" s="3">
        <v>231</v>
      </c>
      <c r="Q15" t="s">
        <v>40</v>
      </c>
      <c r="R15" t="s">
        <v>35</v>
      </c>
      <c r="S15" t="s">
        <v>30</v>
      </c>
      <c r="T15" s="2">
        <v>2275</v>
      </c>
      <c r="U15" s="3">
        <v>447</v>
      </c>
    </row>
    <row r="16" spans="2:21" x14ac:dyDescent="0.3">
      <c r="C16" t="s">
        <v>40</v>
      </c>
      <c r="D16" t="s">
        <v>35</v>
      </c>
      <c r="E16" t="s">
        <v>33</v>
      </c>
      <c r="F16" s="2">
        <v>8869</v>
      </c>
      <c r="G16" s="3">
        <v>432</v>
      </c>
      <c r="J16" t="s">
        <v>41</v>
      </c>
      <c r="K16" t="s">
        <v>36</v>
      </c>
      <c r="L16" t="s">
        <v>32</v>
      </c>
      <c r="M16" s="2">
        <v>10304</v>
      </c>
      <c r="N16" s="3">
        <v>84</v>
      </c>
      <c r="Q16" t="s">
        <v>40</v>
      </c>
      <c r="R16" t="s">
        <v>35</v>
      </c>
      <c r="S16" t="s">
        <v>33</v>
      </c>
      <c r="T16" s="2">
        <v>8869</v>
      </c>
      <c r="U16" s="3">
        <v>432</v>
      </c>
    </row>
    <row r="17" spans="3:21" x14ac:dyDescent="0.3">
      <c r="C17" t="s">
        <v>6</v>
      </c>
      <c r="D17" t="s">
        <v>39</v>
      </c>
      <c r="E17" t="s">
        <v>25</v>
      </c>
      <c r="F17" s="2">
        <v>2100</v>
      </c>
      <c r="G17" s="3">
        <v>414</v>
      </c>
      <c r="J17" t="s">
        <v>7</v>
      </c>
      <c r="K17" t="s">
        <v>38</v>
      </c>
      <c r="L17" t="s">
        <v>30</v>
      </c>
      <c r="M17" s="2">
        <v>10129</v>
      </c>
      <c r="N17" s="3">
        <v>312</v>
      </c>
      <c r="Q17" t="s">
        <v>6</v>
      </c>
      <c r="R17" t="s">
        <v>39</v>
      </c>
      <c r="S17" t="s">
        <v>25</v>
      </c>
      <c r="T17" s="2">
        <v>2100</v>
      </c>
      <c r="U17" s="3">
        <v>414</v>
      </c>
    </row>
    <row r="18" spans="3:21" x14ac:dyDescent="0.3">
      <c r="C18" t="s">
        <v>6</v>
      </c>
      <c r="D18" t="s">
        <v>37</v>
      </c>
      <c r="E18" t="s">
        <v>16</v>
      </c>
      <c r="F18" s="2">
        <v>1904</v>
      </c>
      <c r="G18" s="3">
        <v>405</v>
      </c>
      <c r="J18" t="s">
        <v>6</v>
      </c>
      <c r="K18" t="s">
        <v>36</v>
      </c>
      <c r="L18" t="s">
        <v>4</v>
      </c>
      <c r="M18" s="2">
        <v>10073</v>
      </c>
      <c r="N18" s="3">
        <v>120</v>
      </c>
      <c r="Q18" t="s">
        <v>6</v>
      </c>
      <c r="R18" t="s">
        <v>37</v>
      </c>
      <c r="S18" t="s">
        <v>16</v>
      </c>
      <c r="T18" s="2">
        <v>1904</v>
      </c>
      <c r="U18" s="3">
        <v>405</v>
      </c>
    </row>
    <row r="19" spans="3:21" x14ac:dyDescent="0.3">
      <c r="C19" t="s">
        <v>6</v>
      </c>
      <c r="D19" t="s">
        <v>35</v>
      </c>
      <c r="E19" t="s">
        <v>4</v>
      </c>
      <c r="F19" s="2">
        <v>1302</v>
      </c>
      <c r="G19" s="3">
        <v>402</v>
      </c>
      <c r="J19" t="s">
        <v>2</v>
      </c>
      <c r="K19" t="s">
        <v>37</v>
      </c>
      <c r="L19" t="s">
        <v>17</v>
      </c>
      <c r="M19" s="2">
        <v>9926</v>
      </c>
      <c r="N19" s="3">
        <v>201</v>
      </c>
      <c r="Q19" t="s">
        <v>6</v>
      </c>
      <c r="R19" t="s">
        <v>35</v>
      </c>
      <c r="S19" t="s">
        <v>4</v>
      </c>
      <c r="T19" s="2">
        <v>1302</v>
      </c>
      <c r="U19" s="3">
        <v>402</v>
      </c>
    </row>
    <row r="20" spans="3:21" x14ac:dyDescent="0.3">
      <c r="C20" t="s">
        <v>6</v>
      </c>
      <c r="D20" t="s">
        <v>39</v>
      </c>
      <c r="E20" t="s">
        <v>29</v>
      </c>
      <c r="F20" s="2">
        <v>3052</v>
      </c>
      <c r="G20" s="3">
        <v>378</v>
      </c>
      <c r="J20" t="s">
        <v>7</v>
      </c>
      <c r="K20" t="s">
        <v>37</v>
      </c>
      <c r="L20" t="s">
        <v>22</v>
      </c>
      <c r="M20" s="2">
        <v>9835</v>
      </c>
      <c r="N20" s="3">
        <v>207</v>
      </c>
      <c r="Q20" t="s">
        <v>6</v>
      </c>
      <c r="R20" t="s">
        <v>39</v>
      </c>
      <c r="S20" t="s">
        <v>29</v>
      </c>
      <c r="T20" s="2">
        <v>3052</v>
      </c>
      <c r="U20" s="3">
        <v>378</v>
      </c>
    </row>
    <row r="21" spans="3:21" x14ac:dyDescent="0.3">
      <c r="C21" t="s">
        <v>40</v>
      </c>
      <c r="D21" t="s">
        <v>35</v>
      </c>
      <c r="E21" t="s">
        <v>22</v>
      </c>
      <c r="F21" s="2">
        <v>6853</v>
      </c>
      <c r="G21" s="3">
        <v>372</v>
      </c>
      <c r="J21" t="s">
        <v>40</v>
      </c>
      <c r="K21" t="s">
        <v>36</v>
      </c>
      <c r="L21" t="s">
        <v>33</v>
      </c>
      <c r="M21" s="2">
        <v>9772</v>
      </c>
      <c r="N21" s="3">
        <v>90</v>
      </c>
      <c r="Q21" t="s">
        <v>40</v>
      </c>
      <c r="R21" t="s">
        <v>35</v>
      </c>
      <c r="S21" t="s">
        <v>22</v>
      </c>
      <c r="T21" s="2">
        <v>6853</v>
      </c>
      <c r="U21" s="3">
        <v>372</v>
      </c>
    </row>
    <row r="22" spans="3:21" x14ac:dyDescent="0.3">
      <c r="C22" t="s">
        <v>7</v>
      </c>
      <c r="D22" t="s">
        <v>34</v>
      </c>
      <c r="E22" t="s">
        <v>14</v>
      </c>
      <c r="F22" s="2">
        <v>1932</v>
      </c>
      <c r="G22" s="3">
        <v>369</v>
      </c>
      <c r="J22" t="s">
        <v>8</v>
      </c>
      <c r="K22" t="s">
        <v>37</v>
      </c>
      <c r="L22" t="s">
        <v>15</v>
      </c>
      <c r="M22" s="2">
        <v>9709</v>
      </c>
      <c r="N22" s="3">
        <v>30</v>
      </c>
      <c r="Q22" t="s">
        <v>7</v>
      </c>
      <c r="R22" t="s">
        <v>34</v>
      </c>
      <c r="S22" t="s">
        <v>14</v>
      </c>
      <c r="T22" s="2">
        <v>1932</v>
      </c>
      <c r="U22" s="3">
        <v>369</v>
      </c>
    </row>
    <row r="23" spans="3:21" x14ac:dyDescent="0.3">
      <c r="C23" t="s">
        <v>6</v>
      </c>
      <c r="D23" t="s">
        <v>34</v>
      </c>
      <c r="E23" t="s">
        <v>30</v>
      </c>
      <c r="F23" s="2">
        <v>3402</v>
      </c>
      <c r="G23" s="3">
        <v>366</v>
      </c>
      <c r="J23" t="s">
        <v>8</v>
      </c>
      <c r="K23" t="s">
        <v>39</v>
      </c>
      <c r="L23" t="s">
        <v>18</v>
      </c>
      <c r="M23" s="2">
        <v>9660</v>
      </c>
      <c r="N23" s="3">
        <v>27</v>
      </c>
      <c r="Q23" t="s">
        <v>6</v>
      </c>
      <c r="R23" t="s">
        <v>34</v>
      </c>
      <c r="S23" t="s">
        <v>30</v>
      </c>
      <c r="T23" s="2">
        <v>3402</v>
      </c>
      <c r="U23" s="3">
        <v>366</v>
      </c>
    </row>
    <row r="24" spans="3:21" x14ac:dyDescent="0.3">
      <c r="C24" t="s">
        <v>3</v>
      </c>
      <c r="D24" t="s">
        <v>37</v>
      </c>
      <c r="E24" t="s">
        <v>4</v>
      </c>
      <c r="F24" s="2">
        <v>938</v>
      </c>
      <c r="G24" s="3">
        <v>366</v>
      </c>
      <c r="J24" t="s">
        <v>41</v>
      </c>
      <c r="K24" t="s">
        <v>36</v>
      </c>
      <c r="L24" t="s">
        <v>18</v>
      </c>
      <c r="M24" s="2">
        <v>9632</v>
      </c>
      <c r="N24" s="3">
        <v>288</v>
      </c>
      <c r="Q24" t="s">
        <v>3</v>
      </c>
      <c r="R24" t="s">
        <v>37</v>
      </c>
      <c r="S24" t="s">
        <v>4</v>
      </c>
      <c r="T24" s="2">
        <v>938</v>
      </c>
      <c r="U24" s="3">
        <v>366</v>
      </c>
    </row>
    <row r="25" spans="3:21" x14ac:dyDescent="0.3">
      <c r="C25" t="s">
        <v>8</v>
      </c>
      <c r="D25" t="s">
        <v>35</v>
      </c>
      <c r="E25" t="s">
        <v>20</v>
      </c>
      <c r="F25" s="2">
        <v>2702</v>
      </c>
      <c r="G25" s="3">
        <v>363</v>
      </c>
      <c r="J25" t="s">
        <v>9</v>
      </c>
      <c r="K25" t="s">
        <v>38</v>
      </c>
      <c r="L25" t="s">
        <v>33</v>
      </c>
      <c r="M25" s="2">
        <v>9506</v>
      </c>
      <c r="N25" s="3">
        <v>87</v>
      </c>
      <c r="Q25" t="s">
        <v>8</v>
      </c>
      <c r="R25" t="s">
        <v>35</v>
      </c>
      <c r="S25" t="s">
        <v>20</v>
      </c>
      <c r="T25" s="2">
        <v>2702</v>
      </c>
      <c r="U25" s="3">
        <v>363</v>
      </c>
    </row>
    <row r="26" spans="3:21" x14ac:dyDescent="0.3">
      <c r="C26" t="s">
        <v>5</v>
      </c>
      <c r="D26" t="s">
        <v>35</v>
      </c>
      <c r="E26" t="s">
        <v>29</v>
      </c>
      <c r="F26" s="2">
        <v>4480</v>
      </c>
      <c r="G26" s="3">
        <v>357</v>
      </c>
      <c r="J26" t="s">
        <v>2</v>
      </c>
      <c r="K26" t="s">
        <v>39</v>
      </c>
      <c r="L26" t="s">
        <v>20</v>
      </c>
      <c r="M26" s="2">
        <v>9443</v>
      </c>
      <c r="N26" s="3">
        <v>162</v>
      </c>
      <c r="Q26" t="s">
        <v>5</v>
      </c>
      <c r="R26" t="s">
        <v>35</v>
      </c>
      <c r="S26" t="s">
        <v>29</v>
      </c>
      <c r="T26" s="2">
        <v>4480</v>
      </c>
      <c r="U26" s="3">
        <v>357</v>
      </c>
    </row>
    <row r="27" spans="3:21" x14ac:dyDescent="0.3">
      <c r="C27" t="s">
        <v>2</v>
      </c>
      <c r="D27" t="s">
        <v>38</v>
      </c>
      <c r="E27" t="s">
        <v>31</v>
      </c>
      <c r="F27" s="2">
        <v>4326</v>
      </c>
      <c r="G27" s="3">
        <v>348</v>
      </c>
      <c r="J27" t="s">
        <v>3</v>
      </c>
      <c r="K27" t="s">
        <v>36</v>
      </c>
      <c r="L27" t="s">
        <v>16</v>
      </c>
      <c r="M27" s="2">
        <v>9198</v>
      </c>
      <c r="N27" s="3">
        <v>36</v>
      </c>
      <c r="Q27" t="s">
        <v>5</v>
      </c>
      <c r="R27" t="s">
        <v>36</v>
      </c>
      <c r="S27" t="s">
        <v>17</v>
      </c>
      <c r="T27" s="2">
        <v>3339</v>
      </c>
      <c r="U27" s="3">
        <v>348</v>
      </c>
    </row>
    <row r="28" spans="3:21" x14ac:dyDescent="0.3">
      <c r="C28" t="s">
        <v>5</v>
      </c>
      <c r="D28" t="s">
        <v>36</v>
      </c>
      <c r="E28" t="s">
        <v>17</v>
      </c>
      <c r="F28" s="2">
        <v>3339</v>
      </c>
      <c r="G28" s="3">
        <v>348</v>
      </c>
      <c r="J28" t="s">
        <v>9</v>
      </c>
      <c r="K28" t="s">
        <v>36</v>
      </c>
      <c r="L28" t="s">
        <v>30</v>
      </c>
      <c r="M28" s="2">
        <v>9051</v>
      </c>
      <c r="N28" s="3">
        <v>57</v>
      </c>
      <c r="Q28" t="s">
        <v>2</v>
      </c>
      <c r="R28" t="s">
        <v>38</v>
      </c>
      <c r="S28" t="s">
        <v>31</v>
      </c>
      <c r="T28" s="2">
        <v>4326</v>
      </c>
      <c r="U28" s="3">
        <v>348</v>
      </c>
    </row>
    <row r="29" spans="3:21" x14ac:dyDescent="0.3">
      <c r="C29" t="s">
        <v>10</v>
      </c>
      <c r="D29" t="s">
        <v>36</v>
      </c>
      <c r="E29" t="s">
        <v>29</v>
      </c>
      <c r="F29" s="2">
        <v>2471</v>
      </c>
      <c r="G29" s="3">
        <v>342</v>
      </c>
      <c r="J29" t="s">
        <v>40</v>
      </c>
      <c r="K29" t="s">
        <v>37</v>
      </c>
      <c r="L29" t="s">
        <v>29</v>
      </c>
      <c r="M29" s="2">
        <v>9002</v>
      </c>
      <c r="N29" s="3">
        <v>72</v>
      </c>
      <c r="Q29" t="s">
        <v>10</v>
      </c>
      <c r="R29" t="s">
        <v>36</v>
      </c>
      <c r="S29" t="s">
        <v>29</v>
      </c>
      <c r="T29" s="2">
        <v>2471</v>
      </c>
      <c r="U29" s="3">
        <v>342</v>
      </c>
    </row>
    <row r="30" spans="3:21" x14ac:dyDescent="0.3">
      <c r="C30" t="s">
        <v>5</v>
      </c>
      <c r="D30" t="s">
        <v>34</v>
      </c>
      <c r="E30" t="s">
        <v>20</v>
      </c>
      <c r="F30" s="2">
        <v>15610</v>
      </c>
      <c r="G30" s="3">
        <v>339</v>
      </c>
      <c r="J30" t="s">
        <v>8</v>
      </c>
      <c r="K30" t="s">
        <v>39</v>
      </c>
      <c r="L30" t="s">
        <v>31</v>
      </c>
      <c r="M30" s="2">
        <v>8890</v>
      </c>
      <c r="N30" s="3">
        <v>210</v>
      </c>
      <c r="Q30" t="s">
        <v>5</v>
      </c>
      <c r="R30" t="s">
        <v>34</v>
      </c>
      <c r="S30" t="s">
        <v>20</v>
      </c>
      <c r="T30" s="2">
        <v>15610</v>
      </c>
      <c r="U30" s="3">
        <v>339</v>
      </c>
    </row>
    <row r="31" spans="3:21" x14ac:dyDescent="0.3">
      <c r="C31" t="s">
        <v>7</v>
      </c>
      <c r="D31" t="s">
        <v>37</v>
      </c>
      <c r="E31" t="s">
        <v>16</v>
      </c>
      <c r="F31" s="2">
        <v>4487</v>
      </c>
      <c r="G31" s="3">
        <v>333</v>
      </c>
      <c r="J31" t="s">
        <v>40</v>
      </c>
      <c r="K31" t="s">
        <v>35</v>
      </c>
      <c r="L31" t="s">
        <v>33</v>
      </c>
      <c r="M31" s="2">
        <v>8869</v>
      </c>
      <c r="N31" s="3">
        <v>432</v>
      </c>
      <c r="Q31" t="s">
        <v>7</v>
      </c>
      <c r="R31" t="s">
        <v>37</v>
      </c>
      <c r="S31" t="s">
        <v>16</v>
      </c>
      <c r="T31" s="2">
        <v>4487</v>
      </c>
      <c r="U31" s="3">
        <v>333</v>
      </c>
    </row>
    <row r="32" spans="3:21" x14ac:dyDescent="0.3">
      <c r="C32" t="s">
        <v>3</v>
      </c>
      <c r="D32" t="s">
        <v>37</v>
      </c>
      <c r="E32" t="s">
        <v>28</v>
      </c>
      <c r="F32" s="2">
        <v>7308</v>
      </c>
      <c r="G32" s="3">
        <v>327</v>
      </c>
      <c r="J32" t="s">
        <v>7</v>
      </c>
      <c r="K32" t="s">
        <v>34</v>
      </c>
      <c r="L32" t="s">
        <v>24</v>
      </c>
      <c r="M32" s="2">
        <v>8862</v>
      </c>
      <c r="N32" s="3">
        <v>189</v>
      </c>
      <c r="Q32" t="s">
        <v>3</v>
      </c>
      <c r="R32" t="s">
        <v>37</v>
      </c>
      <c r="S32" t="s">
        <v>28</v>
      </c>
      <c r="T32" s="2">
        <v>7308</v>
      </c>
      <c r="U32" s="3">
        <v>327</v>
      </c>
    </row>
    <row r="33" spans="3:21" x14ac:dyDescent="0.3">
      <c r="C33" t="s">
        <v>3</v>
      </c>
      <c r="D33" t="s">
        <v>37</v>
      </c>
      <c r="E33" t="s">
        <v>29</v>
      </c>
      <c r="F33" s="2">
        <v>4592</v>
      </c>
      <c r="G33" s="3">
        <v>324</v>
      </c>
      <c r="J33" t="s">
        <v>3</v>
      </c>
      <c r="K33" t="s">
        <v>38</v>
      </c>
      <c r="L33" t="s">
        <v>26</v>
      </c>
      <c r="M33" s="2">
        <v>8841</v>
      </c>
      <c r="N33" s="3">
        <v>303</v>
      </c>
      <c r="Q33" t="s">
        <v>3</v>
      </c>
      <c r="R33" t="s">
        <v>37</v>
      </c>
      <c r="S33" t="s">
        <v>29</v>
      </c>
      <c r="T33" s="2">
        <v>4592</v>
      </c>
      <c r="U33" s="3">
        <v>324</v>
      </c>
    </row>
    <row r="34" spans="3:21" x14ac:dyDescent="0.3">
      <c r="C34" t="s">
        <v>7</v>
      </c>
      <c r="D34" t="s">
        <v>38</v>
      </c>
      <c r="E34" t="s">
        <v>30</v>
      </c>
      <c r="F34" s="2">
        <v>10129</v>
      </c>
      <c r="G34" s="3">
        <v>312</v>
      </c>
      <c r="J34" t="s">
        <v>5</v>
      </c>
      <c r="K34" t="s">
        <v>37</v>
      </c>
      <c r="L34" t="s">
        <v>25</v>
      </c>
      <c r="M34" s="2">
        <v>8813</v>
      </c>
      <c r="N34" s="3">
        <v>21</v>
      </c>
      <c r="Q34" t="s">
        <v>3</v>
      </c>
      <c r="R34" t="s">
        <v>34</v>
      </c>
      <c r="S34" t="s">
        <v>28</v>
      </c>
      <c r="T34" s="2">
        <v>3689</v>
      </c>
      <c r="U34" s="3">
        <v>312</v>
      </c>
    </row>
    <row r="35" spans="3:21" x14ac:dyDescent="0.3">
      <c r="C35" t="s">
        <v>3</v>
      </c>
      <c r="D35" t="s">
        <v>34</v>
      </c>
      <c r="E35" t="s">
        <v>28</v>
      </c>
      <c r="F35" s="2">
        <v>3689</v>
      </c>
      <c r="G35" s="3">
        <v>312</v>
      </c>
      <c r="J35" t="s">
        <v>9</v>
      </c>
      <c r="K35" t="s">
        <v>34</v>
      </c>
      <c r="L35" t="s">
        <v>20</v>
      </c>
      <c r="M35" s="2">
        <v>8463</v>
      </c>
      <c r="N35" s="3">
        <v>492</v>
      </c>
      <c r="Q35" t="s">
        <v>7</v>
      </c>
      <c r="R35" t="s">
        <v>38</v>
      </c>
      <c r="S35" t="s">
        <v>30</v>
      </c>
      <c r="T35" s="2">
        <v>10129</v>
      </c>
      <c r="U35" s="3">
        <v>312</v>
      </c>
    </row>
    <row r="36" spans="3:21" x14ac:dyDescent="0.3">
      <c r="C36" t="s">
        <v>41</v>
      </c>
      <c r="D36" t="s">
        <v>36</v>
      </c>
      <c r="E36" t="s">
        <v>28</v>
      </c>
      <c r="F36" s="2">
        <v>854</v>
      </c>
      <c r="G36" s="3">
        <v>309</v>
      </c>
      <c r="J36" t="s">
        <v>7</v>
      </c>
      <c r="K36" t="s">
        <v>36</v>
      </c>
      <c r="L36" t="s">
        <v>22</v>
      </c>
      <c r="M36" s="2">
        <v>8435</v>
      </c>
      <c r="N36" s="3">
        <v>42</v>
      </c>
      <c r="Q36" t="s">
        <v>41</v>
      </c>
      <c r="R36" t="s">
        <v>36</v>
      </c>
      <c r="S36" t="s">
        <v>28</v>
      </c>
      <c r="T36" s="2">
        <v>854</v>
      </c>
      <c r="U36" s="3">
        <v>309</v>
      </c>
    </row>
    <row r="37" spans="3:21" x14ac:dyDescent="0.3">
      <c r="C37" t="s">
        <v>9</v>
      </c>
      <c r="D37" t="s">
        <v>39</v>
      </c>
      <c r="E37" t="s">
        <v>24</v>
      </c>
      <c r="F37" s="2">
        <v>3920</v>
      </c>
      <c r="G37" s="3">
        <v>306</v>
      </c>
      <c r="J37" t="s">
        <v>2</v>
      </c>
      <c r="K37" t="s">
        <v>36</v>
      </c>
      <c r="L37" t="s">
        <v>29</v>
      </c>
      <c r="M37" s="2">
        <v>8211</v>
      </c>
      <c r="N37" s="3">
        <v>75</v>
      </c>
      <c r="Q37" t="s">
        <v>3</v>
      </c>
      <c r="R37" t="s">
        <v>35</v>
      </c>
      <c r="S37" t="s">
        <v>33</v>
      </c>
      <c r="T37" s="2">
        <v>819</v>
      </c>
      <c r="U37" s="3">
        <v>306</v>
      </c>
    </row>
    <row r="38" spans="3:21" x14ac:dyDescent="0.3">
      <c r="C38" t="s">
        <v>40</v>
      </c>
      <c r="D38" t="s">
        <v>36</v>
      </c>
      <c r="E38" t="s">
        <v>27</v>
      </c>
      <c r="F38" s="2">
        <v>3164</v>
      </c>
      <c r="G38" s="3">
        <v>306</v>
      </c>
      <c r="J38" t="s">
        <v>9</v>
      </c>
      <c r="K38" t="s">
        <v>34</v>
      </c>
      <c r="L38" t="s">
        <v>23</v>
      </c>
      <c r="M38" s="2">
        <v>8155</v>
      </c>
      <c r="N38" s="3">
        <v>90</v>
      </c>
      <c r="Q38" t="s">
        <v>9</v>
      </c>
      <c r="R38" t="s">
        <v>39</v>
      </c>
      <c r="S38" t="s">
        <v>24</v>
      </c>
      <c r="T38" s="2">
        <v>3920</v>
      </c>
      <c r="U38" s="3">
        <v>306</v>
      </c>
    </row>
    <row r="39" spans="3:21" x14ac:dyDescent="0.3">
      <c r="C39" t="s">
        <v>3</v>
      </c>
      <c r="D39" t="s">
        <v>35</v>
      </c>
      <c r="E39" t="s">
        <v>33</v>
      </c>
      <c r="F39" s="2">
        <v>819</v>
      </c>
      <c r="G39" s="3">
        <v>306</v>
      </c>
      <c r="J39" t="s">
        <v>6</v>
      </c>
      <c r="K39" t="s">
        <v>34</v>
      </c>
      <c r="L39" t="s">
        <v>26</v>
      </c>
      <c r="M39" s="2">
        <v>8008</v>
      </c>
      <c r="N39" s="3">
        <v>456</v>
      </c>
      <c r="Q39" t="s">
        <v>40</v>
      </c>
      <c r="R39" t="s">
        <v>36</v>
      </c>
      <c r="S39" t="s">
        <v>27</v>
      </c>
      <c r="T39" s="2">
        <v>3164</v>
      </c>
      <c r="U39" s="3">
        <v>306</v>
      </c>
    </row>
    <row r="40" spans="3:21" x14ac:dyDescent="0.3">
      <c r="C40" t="s">
        <v>3</v>
      </c>
      <c r="D40" t="s">
        <v>38</v>
      </c>
      <c r="E40" t="s">
        <v>26</v>
      </c>
      <c r="F40" s="2">
        <v>8841</v>
      </c>
      <c r="G40" s="3">
        <v>303</v>
      </c>
      <c r="J40" t="s">
        <v>41</v>
      </c>
      <c r="K40" t="s">
        <v>34</v>
      </c>
      <c r="L40" t="s">
        <v>33</v>
      </c>
      <c r="M40" s="2">
        <v>7847</v>
      </c>
      <c r="N40" s="3">
        <v>174</v>
      </c>
      <c r="Q40" t="s">
        <v>10</v>
      </c>
      <c r="R40" t="s">
        <v>36</v>
      </c>
      <c r="S40" t="s">
        <v>32</v>
      </c>
      <c r="T40" s="2">
        <v>6657</v>
      </c>
      <c r="U40" s="3">
        <v>303</v>
      </c>
    </row>
    <row r="41" spans="3:21" x14ac:dyDescent="0.3">
      <c r="C41" t="s">
        <v>10</v>
      </c>
      <c r="D41" t="s">
        <v>36</v>
      </c>
      <c r="E41" t="s">
        <v>32</v>
      </c>
      <c r="F41" s="2">
        <v>6657</v>
      </c>
      <c r="G41" s="3">
        <v>303</v>
      </c>
      <c r="J41" t="s">
        <v>9</v>
      </c>
      <c r="K41" t="s">
        <v>35</v>
      </c>
      <c r="L41" t="s">
        <v>15</v>
      </c>
      <c r="M41" s="2">
        <v>7833</v>
      </c>
      <c r="N41" s="3">
        <v>243</v>
      </c>
      <c r="Q41" t="s">
        <v>2</v>
      </c>
      <c r="R41" t="s">
        <v>35</v>
      </c>
      <c r="S41" t="s">
        <v>17</v>
      </c>
      <c r="T41" s="2">
        <v>1589</v>
      </c>
      <c r="U41" s="3">
        <v>303</v>
      </c>
    </row>
    <row r="42" spans="3:21" x14ac:dyDescent="0.3">
      <c r="C42" t="s">
        <v>2</v>
      </c>
      <c r="D42" t="s">
        <v>35</v>
      </c>
      <c r="E42" t="s">
        <v>17</v>
      </c>
      <c r="F42" s="2">
        <v>1589</v>
      </c>
      <c r="G42" s="3">
        <v>303</v>
      </c>
      <c r="J42" t="s">
        <v>2</v>
      </c>
      <c r="K42" t="s">
        <v>39</v>
      </c>
      <c r="L42" t="s">
        <v>27</v>
      </c>
      <c r="M42" s="2">
        <v>7812</v>
      </c>
      <c r="N42" s="3">
        <v>81</v>
      </c>
      <c r="Q42" t="s">
        <v>3</v>
      </c>
      <c r="R42" t="s">
        <v>38</v>
      </c>
      <c r="S42" t="s">
        <v>26</v>
      </c>
      <c r="T42" s="2">
        <v>8841</v>
      </c>
      <c r="U42" s="3">
        <v>303</v>
      </c>
    </row>
    <row r="43" spans="3:21" x14ac:dyDescent="0.3">
      <c r="C43" t="s">
        <v>8</v>
      </c>
      <c r="D43" t="s">
        <v>35</v>
      </c>
      <c r="E43" t="s">
        <v>27</v>
      </c>
      <c r="F43" s="2">
        <v>4753</v>
      </c>
      <c r="G43" s="3">
        <v>300</v>
      </c>
      <c r="J43" t="s">
        <v>7</v>
      </c>
      <c r="K43" t="s">
        <v>34</v>
      </c>
      <c r="L43" t="s">
        <v>17</v>
      </c>
      <c r="M43" s="2">
        <v>7777</v>
      </c>
      <c r="N43" s="3">
        <v>39</v>
      </c>
      <c r="Q43" t="s">
        <v>7</v>
      </c>
      <c r="R43" t="s">
        <v>36</v>
      </c>
      <c r="S43" t="s">
        <v>19</v>
      </c>
      <c r="T43" s="2">
        <v>2870</v>
      </c>
      <c r="U43" s="3">
        <v>300</v>
      </c>
    </row>
    <row r="44" spans="3:21" x14ac:dyDescent="0.3">
      <c r="C44" t="s">
        <v>7</v>
      </c>
      <c r="D44" t="s">
        <v>36</v>
      </c>
      <c r="E44" t="s">
        <v>19</v>
      </c>
      <c r="F44" s="2">
        <v>2870</v>
      </c>
      <c r="G44" s="3">
        <v>300</v>
      </c>
      <c r="J44" t="s">
        <v>3</v>
      </c>
      <c r="K44" t="s">
        <v>34</v>
      </c>
      <c r="L44" t="s">
        <v>32</v>
      </c>
      <c r="M44" s="2">
        <v>7777</v>
      </c>
      <c r="N44" s="3">
        <v>504</v>
      </c>
      <c r="Q44" t="s">
        <v>8</v>
      </c>
      <c r="R44" t="s">
        <v>35</v>
      </c>
      <c r="S44" t="s">
        <v>27</v>
      </c>
      <c r="T44" s="2">
        <v>4753</v>
      </c>
      <c r="U44" s="3">
        <v>300</v>
      </c>
    </row>
    <row r="45" spans="3:21" x14ac:dyDescent="0.3">
      <c r="C45" t="s">
        <v>40</v>
      </c>
      <c r="D45" t="s">
        <v>38</v>
      </c>
      <c r="E45" t="s">
        <v>13</v>
      </c>
      <c r="F45" s="2">
        <v>5670</v>
      </c>
      <c r="G45" s="3">
        <v>297</v>
      </c>
      <c r="J45" t="s">
        <v>40</v>
      </c>
      <c r="K45" t="s">
        <v>37</v>
      </c>
      <c r="L45" t="s">
        <v>19</v>
      </c>
      <c r="M45" s="2">
        <v>7693</v>
      </c>
      <c r="N45" s="3">
        <v>21</v>
      </c>
      <c r="Q45" t="s">
        <v>40</v>
      </c>
      <c r="R45" t="s">
        <v>38</v>
      </c>
      <c r="S45" t="s">
        <v>13</v>
      </c>
      <c r="T45" s="2">
        <v>5670</v>
      </c>
      <c r="U45" s="3">
        <v>297</v>
      </c>
    </row>
    <row r="46" spans="3:21" x14ac:dyDescent="0.3">
      <c r="C46" t="s">
        <v>41</v>
      </c>
      <c r="D46" t="s">
        <v>36</v>
      </c>
      <c r="E46" t="s">
        <v>18</v>
      </c>
      <c r="F46" s="2">
        <v>9632</v>
      </c>
      <c r="G46" s="3">
        <v>288</v>
      </c>
      <c r="J46" t="s">
        <v>6</v>
      </c>
      <c r="K46" t="s">
        <v>37</v>
      </c>
      <c r="L46" t="s">
        <v>31</v>
      </c>
      <c r="M46" s="2">
        <v>7693</v>
      </c>
      <c r="N46" s="3">
        <v>87</v>
      </c>
      <c r="Q46" t="s">
        <v>41</v>
      </c>
      <c r="R46" t="s">
        <v>36</v>
      </c>
      <c r="S46" t="s">
        <v>18</v>
      </c>
      <c r="T46" s="2">
        <v>9632</v>
      </c>
      <c r="U46" s="3">
        <v>288</v>
      </c>
    </row>
    <row r="47" spans="3:21" x14ac:dyDescent="0.3">
      <c r="C47" t="s">
        <v>7</v>
      </c>
      <c r="D47" t="s">
        <v>35</v>
      </c>
      <c r="E47" t="s">
        <v>28</v>
      </c>
      <c r="F47" s="2">
        <v>5194</v>
      </c>
      <c r="G47" s="3">
        <v>288</v>
      </c>
      <c r="J47" t="s">
        <v>2</v>
      </c>
      <c r="K47" t="s">
        <v>39</v>
      </c>
      <c r="L47" t="s">
        <v>21</v>
      </c>
      <c r="M47" s="2">
        <v>7651</v>
      </c>
      <c r="N47" s="3">
        <v>213</v>
      </c>
      <c r="Q47" t="s">
        <v>8</v>
      </c>
      <c r="R47" t="s">
        <v>34</v>
      </c>
      <c r="S47" t="s">
        <v>31</v>
      </c>
      <c r="T47" s="2">
        <v>3507</v>
      </c>
      <c r="U47" s="3">
        <v>288</v>
      </c>
    </row>
    <row r="48" spans="3:21" x14ac:dyDescent="0.3">
      <c r="C48" t="s">
        <v>8</v>
      </c>
      <c r="D48" t="s">
        <v>34</v>
      </c>
      <c r="E48" t="s">
        <v>31</v>
      </c>
      <c r="F48" s="2">
        <v>3507</v>
      </c>
      <c r="G48" s="3">
        <v>288</v>
      </c>
      <c r="J48" t="s">
        <v>2</v>
      </c>
      <c r="K48" t="s">
        <v>34</v>
      </c>
      <c r="L48" t="s">
        <v>19</v>
      </c>
      <c r="M48" s="2">
        <v>7511</v>
      </c>
      <c r="N48" s="3">
        <v>120</v>
      </c>
      <c r="Q48" t="s">
        <v>10</v>
      </c>
      <c r="R48" t="s">
        <v>37</v>
      </c>
      <c r="S48" t="s">
        <v>21</v>
      </c>
      <c r="T48" s="2">
        <v>245</v>
      </c>
      <c r="U48" s="3">
        <v>288</v>
      </c>
    </row>
    <row r="49" spans="3:21" x14ac:dyDescent="0.3">
      <c r="C49" t="s">
        <v>10</v>
      </c>
      <c r="D49" t="s">
        <v>37</v>
      </c>
      <c r="E49" t="s">
        <v>21</v>
      </c>
      <c r="F49" s="2">
        <v>245</v>
      </c>
      <c r="G49" s="3">
        <v>288</v>
      </c>
      <c r="J49" t="s">
        <v>5</v>
      </c>
      <c r="K49" t="s">
        <v>38</v>
      </c>
      <c r="L49" t="s">
        <v>25</v>
      </c>
      <c r="M49" s="2">
        <v>7483</v>
      </c>
      <c r="N49" s="3">
        <v>45</v>
      </c>
      <c r="Q49" t="s">
        <v>7</v>
      </c>
      <c r="R49" t="s">
        <v>35</v>
      </c>
      <c r="S49" t="s">
        <v>28</v>
      </c>
      <c r="T49" s="2">
        <v>5194</v>
      </c>
      <c r="U49" s="3">
        <v>288</v>
      </c>
    </row>
    <row r="50" spans="3:21" x14ac:dyDescent="0.3">
      <c r="C50" t="s">
        <v>6</v>
      </c>
      <c r="D50" t="s">
        <v>38</v>
      </c>
      <c r="E50" t="s">
        <v>27</v>
      </c>
      <c r="F50" s="2">
        <v>1134</v>
      </c>
      <c r="G50" s="3">
        <v>282</v>
      </c>
      <c r="J50" t="s">
        <v>41</v>
      </c>
      <c r="K50" t="s">
        <v>35</v>
      </c>
      <c r="L50" t="s">
        <v>28</v>
      </c>
      <c r="M50" s="2">
        <v>7455</v>
      </c>
      <c r="N50" s="3">
        <v>216</v>
      </c>
      <c r="Q50" t="s">
        <v>6</v>
      </c>
      <c r="R50" t="s">
        <v>38</v>
      </c>
      <c r="S50" t="s">
        <v>27</v>
      </c>
      <c r="T50" s="2">
        <v>1134</v>
      </c>
      <c r="U50" s="3">
        <v>282</v>
      </c>
    </row>
    <row r="51" spans="3:21" x14ac:dyDescent="0.3">
      <c r="C51" t="s">
        <v>10</v>
      </c>
      <c r="D51" t="s">
        <v>39</v>
      </c>
      <c r="E51" t="s">
        <v>21</v>
      </c>
      <c r="F51" s="2">
        <v>4858</v>
      </c>
      <c r="G51" s="3">
        <v>279</v>
      </c>
      <c r="J51" t="s">
        <v>6</v>
      </c>
      <c r="K51" t="s">
        <v>38</v>
      </c>
      <c r="L51" t="s">
        <v>21</v>
      </c>
      <c r="M51" s="2">
        <v>7322</v>
      </c>
      <c r="N51" s="3">
        <v>36</v>
      </c>
      <c r="Q51" t="s">
        <v>10</v>
      </c>
      <c r="R51" t="s">
        <v>35</v>
      </c>
      <c r="S51" t="s">
        <v>18</v>
      </c>
      <c r="T51" s="2">
        <v>3808</v>
      </c>
      <c r="U51" s="3">
        <v>279</v>
      </c>
    </row>
    <row r="52" spans="3:21" x14ac:dyDescent="0.3">
      <c r="C52" t="s">
        <v>10</v>
      </c>
      <c r="D52" t="s">
        <v>35</v>
      </c>
      <c r="E52" t="s">
        <v>18</v>
      </c>
      <c r="F52" s="2">
        <v>3808</v>
      </c>
      <c r="G52" s="3">
        <v>279</v>
      </c>
      <c r="J52" t="s">
        <v>3</v>
      </c>
      <c r="K52" t="s">
        <v>37</v>
      </c>
      <c r="L52" t="s">
        <v>28</v>
      </c>
      <c r="M52" s="2">
        <v>7308</v>
      </c>
      <c r="N52" s="3">
        <v>327</v>
      </c>
      <c r="Q52" t="s">
        <v>10</v>
      </c>
      <c r="R52" t="s">
        <v>39</v>
      </c>
      <c r="S52" t="s">
        <v>21</v>
      </c>
      <c r="T52" s="2">
        <v>4858</v>
      </c>
      <c r="U52" s="3">
        <v>279</v>
      </c>
    </row>
    <row r="53" spans="3:21" x14ac:dyDescent="0.3">
      <c r="C53" t="s">
        <v>3</v>
      </c>
      <c r="D53" t="s">
        <v>34</v>
      </c>
      <c r="E53" t="s">
        <v>14</v>
      </c>
      <c r="F53" s="2">
        <v>7259</v>
      </c>
      <c r="G53" s="3">
        <v>276</v>
      </c>
      <c r="J53" t="s">
        <v>5</v>
      </c>
      <c r="K53" t="s">
        <v>34</v>
      </c>
      <c r="L53" t="s">
        <v>15</v>
      </c>
      <c r="M53" s="2">
        <v>7280</v>
      </c>
      <c r="N53" s="3">
        <v>201</v>
      </c>
      <c r="Q53" t="s">
        <v>3</v>
      </c>
      <c r="R53" t="s">
        <v>34</v>
      </c>
      <c r="S53" t="s">
        <v>14</v>
      </c>
      <c r="T53" s="2">
        <v>7259</v>
      </c>
      <c r="U53" s="3">
        <v>276</v>
      </c>
    </row>
    <row r="54" spans="3:21" x14ac:dyDescent="0.3">
      <c r="C54" t="s">
        <v>3</v>
      </c>
      <c r="D54" t="s">
        <v>35</v>
      </c>
      <c r="E54" t="s">
        <v>15</v>
      </c>
      <c r="F54" s="2">
        <v>6657</v>
      </c>
      <c r="G54" s="3">
        <v>276</v>
      </c>
      <c r="J54" t="s">
        <v>9</v>
      </c>
      <c r="K54" t="s">
        <v>37</v>
      </c>
      <c r="L54" t="s">
        <v>20</v>
      </c>
      <c r="M54" s="2">
        <v>7273</v>
      </c>
      <c r="N54" s="3">
        <v>96</v>
      </c>
      <c r="Q54" t="s">
        <v>3</v>
      </c>
      <c r="R54" t="s">
        <v>35</v>
      </c>
      <c r="S54" t="s">
        <v>15</v>
      </c>
      <c r="T54" s="2">
        <v>6657</v>
      </c>
      <c r="U54" s="3">
        <v>276</v>
      </c>
    </row>
    <row r="55" spans="3:21" x14ac:dyDescent="0.3">
      <c r="C55" t="s">
        <v>9</v>
      </c>
      <c r="D55" t="s">
        <v>37</v>
      </c>
      <c r="E55" t="s">
        <v>29</v>
      </c>
      <c r="F55" s="2">
        <v>1085</v>
      </c>
      <c r="G55" s="3">
        <v>273</v>
      </c>
      <c r="J55" t="s">
        <v>3</v>
      </c>
      <c r="K55" t="s">
        <v>34</v>
      </c>
      <c r="L55" t="s">
        <v>14</v>
      </c>
      <c r="M55" s="2">
        <v>7259</v>
      </c>
      <c r="N55" s="3">
        <v>276</v>
      </c>
      <c r="Q55" t="s">
        <v>9</v>
      </c>
      <c r="R55" t="s">
        <v>37</v>
      </c>
      <c r="S55" t="s">
        <v>29</v>
      </c>
      <c r="T55" s="2">
        <v>1085</v>
      </c>
      <c r="U55" s="3">
        <v>273</v>
      </c>
    </row>
    <row r="56" spans="3:21" x14ac:dyDescent="0.3">
      <c r="C56" t="s">
        <v>7</v>
      </c>
      <c r="D56" t="s">
        <v>38</v>
      </c>
      <c r="E56" t="s">
        <v>18</v>
      </c>
      <c r="F56" s="2">
        <v>1778</v>
      </c>
      <c r="G56" s="3">
        <v>270</v>
      </c>
      <c r="J56" t="s">
        <v>5</v>
      </c>
      <c r="K56" t="s">
        <v>38</v>
      </c>
      <c r="L56" t="s">
        <v>13</v>
      </c>
      <c r="M56" s="2">
        <v>7189</v>
      </c>
      <c r="N56" s="3">
        <v>54</v>
      </c>
      <c r="Q56" t="s">
        <v>7</v>
      </c>
      <c r="R56" t="s">
        <v>38</v>
      </c>
      <c r="S56" t="s">
        <v>18</v>
      </c>
      <c r="T56" s="2">
        <v>1778</v>
      </c>
      <c r="U56" s="3">
        <v>270</v>
      </c>
    </row>
    <row r="57" spans="3:21" x14ac:dyDescent="0.3">
      <c r="C57" t="s">
        <v>6</v>
      </c>
      <c r="D57" t="s">
        <v>35</v>
      </c>
      <c r="E57" t="s">
        <v>20</v>
      </c>
      <c r="F57" s="2">
        <v>1071</v>
      </c>
      <c r="G57" s="3">
        <v>270</v>
      </c>
      <c r="J57" t="s">
        <v>8</v>
      </c>
      <c r="K57" t="s">
        <v>39</v>
      </c>
      <c r="L57" t="s">
        <v>30</v>
      </c>
      <c r="M57" s="2">
        <v>7021</v>
      </c>
      <c r="N57" s="3">
        <v>183</v>
      </c>
      <c r="Q57" t="s">
        <v>6</v>
      </c>
      <c r="R57" t="s">
        <v>35</v>
      </c>
      <c r="S57" t="s">
        <v>20</v>
      </c>
      <c r="T57" s="2">
        <v>1071</v>
      </c>
      <c r="U57" s="3">
        <v>270</v>
      </c>
    </row>
    <row r="58" spans="3:21" x14ac:dyDescent="0.3">
      <c r="C58" t="s">
        <v>10</v>
      </c>
      <c r="D58" t="s">
        <v>36</v>
      </c>
      <c r="E58" t="s">
        <v>23</v>
      </c>
      <c r="F58" s="2">
        <v>2317</v>
      </c>
      <c r="G58" s="3">
        <v>261</v>
      </c>
      <c r="J58" t="s">
        <v>5</v>
      </c>
      <c r="K58" t="s">
        <v>34</v>
      </c>
      <c r="L58" t="s">
        <v>27</v>
      </c>
      <c r="M58" s="2">
        <v>6986</v>
      </c>
      <c r="N58" s="3">
        <v>21</v>
      </c>
      <c r="Q58" t="s">
        <v>10</v>
      </c>
      <c r="R58" t="s">
        <v>36</v>
      </c>
      <c r="S58" t="s">
        <v>23</v>
      </c>
      <c r="T58" s="2">
        <v>2317</v>
      </c>
      <c r="U58" s="3">
        <v>261</v>
      </c>
    </row>
    <row r="59" spans="3:21" x14ac:dyDescent="0.3">
      <c r="C59" t="s">
        <v>7</v>
      </c>
      <c r="D59" t="s">
        <v>38</v>
      </c>
      <c r="E59" t="s">
        <v>28</v>
      </c>
      <c r="F59" s="2">
        <v>5677</v>
      </c>
      <c r="G59" s="3">
        <v>258</v>
      </c>
      <c r="J59" t="s">
        <v>5</v>
      </c>
      <c r="K59" t="s">
        <v>39</v>
      </c>
      <c r="L59" t="s">
        <v>22</v>
      </c>
      <c r="M59" s="2">
        <v>6909</v>
      </c>
      <c r="N59" s="3">
        <v>81</v>
      </c>
      <c r="Q59" t="s">
        <v>7</v>
      </c>
      <c r="R59" t="s">
        <v>38</v>
      </c>
      <c r="S59" t="s">
        <v>28</v>
      </c>
      <c r="T59" s="2">
        <v>5677</v>
      </c>
      <c r="U59" s="3">
        <v>258</v>
      </c>
    </row>
    <row r="60" spans="3:21" x14ac:dyDescent="0.3">
      <c r="C60" t="s">
        <v>3</v>
      </c>
      <c r="D60" t="s">
        <v>35</v>
      </c>
      <c r="E60" t="s">
        <v>14</v>
      </c>
      <c r="F60" s="2">
        <v>2415</v>
      </c>
      <c r="G60" s="3">
        <v>255</v>
      </c>
      <c r="J60" t="s">
        <v>10</v>
      </c>
      <c r="K60" t="s">
        <v>38</v>
      </c>
      <c r="L60" t="s">
        <v>4</v>
      </c>
      <c r="M60" s="2">
        <v>6860</v>
      </c>
      <c r="N60" s="3">
        <v>126</v>
      </c>
      <c r="Q60" t="s">
        <v>3</v>
      </c>
      <c r="R60" t="s">
        <v>35</v>
      </c>
      <c r="S60" t="s">
        <v>14</v>
      </c>
      <c r="T60" s="2">
        <v>2415</v>
      </c>
      <c r="U60" s="3">
        <v>255</v>
      </c>
    </row>
    <row r="61" spans="3:21" x14ac:dyDescent="0.3">
      <c r="C61" t="s">
        <v>7</v>
      </c>
      <c r="D61" t="s">
        <v>35</v>
      </c>
      <c r="E61" t="s">
        <v>30</v>
      </c>
      <c r="F61" s="2">
        <v>6755</v>
      </c>
      <c r="G61" s="3">
        <v>252</v>
      </c>
      <c r="J61" t="s">
        <v>40</v>
      </c>
      <c r="K61" t="s">
        <v>35</v>
      </c>
      <c r="L61" t="s">
        <v>22</v>
      </c>
      <c r="M61" s="2">
        <v>6853</v>
      </c>
      <c r="N61" s="3">
        <v>372</v>
      </c>
      <c r="Q61" t="s">
        <v>7</v>
      </c>
      <c r="R61" t="s">
        <v>35</v>
      </c>
      <c r="S61" t="s">
        <v>30</v>
      </c>
      <c r="T61" s="2">
        <v>6755</v>
      </c>
      <c r="U61" s="3">
        <v>252</v>
      </c>
    </row>
    <row r="62" spans="3:21" x14ac:dyDescent="0.3">
      <c r="C62" t="s">
        <v>7</v>
      </c>
      <c r="D62" t="s">
        <v>36</v>
      </c>
      <c r="E62" t="s">
        <v>29</v>
      </c>
      <c r="F62" s="2">
        <v>5551</v>
      </c>
      <c r="G62" s="3">
        <v>252</v>
      </c>
      <c r="J62" t="s">
        <v>9</v>
      </c>
      <c r="K62" t="s">
        <v>34</v>
      </c>
      <c r="L62" t="s">
        <v>21</v>
      </c>
      <c r="M62" s="2">
        <v>6832</v>
      </c>
      <c r="N62" s="3">
        <v>27</v>
      </c>
      <c r="Q62" t="s">
        <v>7</v>
      </c>
      <c r="R62" t="s">
        <v>36</v>
      </c>
      <c r="S62" t="s">
        <v>29</v>
      </c>
      <c r="T62" s="2">
        <v>5551</v>
      </c>
      <c r="U62" s="3">
        <v>252</v>
      </c>
    </row>
    <row r="63" spans="3:21" x14ac:dyDescent="0.3">
      <c r="C63" t="s">
        <v>5</v>
      </c>
      <c r="D63" t="s">
        <v>39</v>
      </c>
      <c r="E63" t="s">
        <v>18</v>
      </c>
      <c r="F63" s="2">
        <v>385</v>
      </c>
      <c r="G63" s="3">
        <v>249</v>
      </c>
      <c r="J63" t="s">
        <v>6</v>
      </c>
      <c r="K63" t="s">
        <v>37</v>
      </c>
      <c r="L63" t="s">
        <v>26</v>
      </c>
      <c r="M63" s="2">
        <v>6818</v>
      </c>
      <c r="N63" s="3">
        <v>6</v>
      </c>
      <c r="Q63" t="s">
        <v>5</v>
      </c>
      <c r="R63" t="s">
        <v>39</v>
      </c>
      <c r="S63" t="s">
        <v>18</v>
      </c>
      <c r="T63" s="2">
        <v>385</v>
      </c>
      <c r="U63" s="3">
        <v>249</v>
      </c>
    </row>
    <row r="64" spans="3:21" x14ac:dyDescent="0.3">
      <c r="C64" t="s">
        <v>5</v>
      </c>
      <c r="D64" t="s">
        <v>35</v>
      </c>
      <c r="E64" t="s">
        <v>31</v>
      </c>
      <c r="F64" s="2">
        <v>4753</v>
      </c>
      <c r="G64" s="3">
        <v>246</v>
      </c>
      <c r="J64" t="s">
        <v>7</v>
      </c>
      <c r="K64" t="s">
        <v>35</v>
      </c>
      <c r="L64" t="s">
        <v>30</v>
      </c>
      <c r="M64" s="2">
        <v>6755</v>
      </c>
      <c r="N64" s="3">
        <v>252</v>
      </c>
      <c r="Q64" t="s">
        <v>7</v>
      </c>
      <c r="R64" t="s">
        <v>39</v>
      </c>
      <c r="S64" t="s">
        <v>17</v>
      </c>
      <c r="T64" s="2">
        <v>4438</v>
      </c>
      <c r="U64" s="3">
        <v>246</v>
      </c>
    </row>
    <row r="65" spans="3:21" x14ac:dyDescent="0.3">
      <c r="C65" t="s">
        <v>7</v>
      </c>
      <c r="D65" t="s">
        <v>39</v>
      </c>
      <c r="E65" t="s">
        <v>17</v>
      </c>
      <c r="F65" s="2">
        <v>4438</v>
      </c>
      <c r="G65" s="3">
        <v>246</v>
      </c>
      <c r="J65" t="s">
        <v>40</v>
      </c>
      <c r="K65" t="s">
        <v>34</v>
      </c>
      <c r="L65" t="s">
        <v>26</v>
      </c>
      <c r="M65" s="2">
        <v>6748</v>
      </c>
      <c r="N65" s="3">
        <v>48</v>
      </c>
      <c r="Q65" t="s">
        <v>9</v>
      </c>
      <c r="R65" t="s">
        <v>37</v>
      </c>
      <c r="S65" t="s">
        <v>26</v>
      </c>
      <c r="T65" s="2">
        <v>2856</v>
      </c>
      <c r="U65" s="3">
        <v>246</v>
      </c>
    </row>
    <row r="66" spans="3:21" x14ac:dyDescent="0.3">
      <c r="C66" t="s">
        <v>2</v>
      </c>
      <c r="D66" t="s">
        <v>36</v>
      </c>
      <c r="E66" t="s">
        <v>31</v>
      </c>
      <c r="F66" s="2">
        <v>3094</v>
      </c>
      <c r="G66" s="3">
        <v>246</v>
      </c>
      <c r="J66" t="s">
        <v>6</v>
      </c>
      <c r="K66" t="s">
        <v>34</v>
      </c>
      <c r="L66" t="s">
        <v>32</v>
      </c>
      <c r="M66" s="2">
        <v>6734</v>
      </c>
      <c r="N66" s="3">
        <v>123</v>
      </c>
      <c r="Q66" t="s">
        <v>2</v>
      </c>
      <c r="R66" t="s">
        <v>36</v>
      </c>
      <c r="S66" t="s">
        <v>31</v>
      </c>
      <c r="T66" s="2">
        <v>3094</v>
      </c>
      <c r="U66" s="3">
        <v>246</v>
      </c>
    </row>
    <row r="67" spans="3:21" x14ac:dyDescent="0.3">
      <c r="C67" t="s">
        <v>9</v>
      </c>
      <c r="D67" t="s">
        <v>37</v>
      </c>
      <c r="E67" t="s">
        <v>26</v>
      </c>
      <c r="F67" s="2">
        <v>2856</v>
      </c>
      <c r="G67" s="3">
        <v>246</v>
      </c>
      <c r="J67" t="s">
        <v>8</v>
      </c>
      <c r="K67" t="s">
        <v>35</v>
      </c>
      <c r="L67" t="s">
        <v>32</v>
      </c>
      <c r="M67" s="2">
        <v>6706</v>
      </c>
      <c r="N67" s="3">
        <v>459</v>
      </c>
      <c r="Q67" t="s">
        <v>5</v>
      </c>
      <c r="R67" t="s">
        <v>35</v>
      </c>
      <c r="S67" t="s">
        <v>31</v>
      </c>
      <c r="T67" s="2">
        <v>4753</v>
      </c>
      <c r="U67" s="3">
        <v>246</v>
      </c>
    </row>
    <row r="68" spans="3:21" x14ac:dyDescent="0.3">
      <c r="C68" t="s">
        <v>9</v>
      </c>
      <c r="D68" t="s">
        <v>35</v>
      </c>
      <c r="E68" t="s">
        <v>15</v>
      </c>
      <c r="F68" s="2">
        <v>7833</v>
      </c>
      <c r="G68" s="3">
        <v>243</v>
      </c>
      <c r="J68" t="s">
        <v>3</v>
      </c>
      <c r="K68" t="s">
        <v>35</v>
      </c>
      <c r="L68" t="s">
        <v>15</v>
      </c>
      <c r="M68" s="2">
        <v>6657</v>
      </c>
      <c r="N68" s="3">
        <v>276</v>
      </c>
      <c r="Q68" t="s">
        <v>9</v>
      </c>
      <c r="R68" t="s">
        <v>35</v>
      </c>
      <c r="S68" t="s">
        <v>15</v>
      </c>
      <c r="T68" s="2">
        <v>7833</v>
      </c>
      <c r="U68" s="3">
        <v>243</v>
      </c>
    </row>
    <row r="69" spans="3:21" x14ac:dyDescent="0.3">
      <c r="C69" t="s">
        <v>7</v>
      </c>
      <c r="D69" t="s">
        <v>35</v>
      </c>
      <c r="E69" t="s">
        <v>19</v>
      </c>
      <c r="F69" s="2">
        <v>4585</v>
      </c>
      <c r="G69" s="3">
        <v>240</v>
      </c>
      <c r="J69" t="s">
        <v>10</v>
      </c>
      <c r="K69" t="s">
        <v>36</v>
      </c>
      <c r="L69" t="s">
        <v>32</v>
      </c>
      <c r="M69" s="2">
        <v>6657</v>
      </c>
      <c r="N69" s="3">
        <v>303</v>
      </c>
      <c r="Q69" t="s">
        <v>41</v>
      </c>
      <c r="R69" t="s">
        <v>37</v>
      </c>
      <c r="S69" t="s">
        <v>30</v>
      </c>
      <c r="T69" s="2">
        <v>1526</v>
      </c>
      <c r="U69" s="3">
        <v>240</v>
      </c>
    </row>
    <row r="70" spans="3:21" x14ac:dyDescent="0.3">
      <c r="C70" t="s">
        <v>41</v>
      </c>
      <c r="D70" t="s">
        <v>37</v>
      </c>
      <c r="E70" t="s">
        <v>30</v>
      </c>
      <c r="F70" s="2">
        <v>1526</v>
      </c>
      <c r="G70" s="3">
        <v>240</v>
      </c>
      <c r="J70" t="s">
        <v>7</v>
      </c>
      <c r="K70" t="s">
        <v>37</v>
      </c>
      <c r="L70" t="s">
        <v>14</v>
      </c>
      <c r="M70" s="2">
        <v>6608</v>
      </c>
      <c r="N70" s="3">
        <v>225</v>
      </c>
      <c r="Q70" t="s">
        <v>7</v>
      </c>
      <c r="R70" t="s">
        <v>35</v>
      </c>
      <c r="S70" t="s">
        <v>19</v>
      </c>
      <c r="T70" s="2">
        <v>4585</v>
      </c>
      <c r="U70" s="3">
        <v>240</v>
      </c>
    </row>
    <row r="71" spans="3:21" x14ac:dyDescent="0.3">
      <c r="C71" t="s">
        <v>5</v>
      </c>
      <c r="D71" t="s">
        <v>34</v>
      </c>
      <c r="E71" t="s">
        <v>22</v>
      </c>
      <c r="F71" s="2">
        <v>6279</v>
      </c>
      <c r="G71" s="3">
        <v>237</v>
      </c>
      <c r="J71" t="s">
        <v>2</v>
      </c>
      <c r="K71" t="s">
        <v>38</v>
      </c>
      <c r="L71" t="s">
        <v>28</v>
      </c>
      <c r="M71" s="2">
        <v>6580</v>
      </c>
      <c r="N71" s="3">
        <v>183</v>
      </c>
      <c r="Q71" t="s">
        <v>5</v>
      </c>
      <c r="R71" t="s">
        <v>34</v>
      </c>
      <c r="S71" t="s">
        <v>22</v>
      </c>
      <c r="T71" s="2">
        <v>6279</v>
      </c>
      <c r="U71" s="3">
        <v>237</v>
      </c>
    </row>
    <row r="72" spans="3:21" x14ac:dyDescent="0.3">
      <c r="C72" t="s">
        <v>40</v>
      </c>
      <c r="D72" t="s">
        <v>35</v>
      </c>
      <c r="E72" t="s">
        <v>32</v>
      </c>
      <c r="F72" s="2">
        <v>12348</v>
      </c>
      <c r="G72" s="3">
        <v>234</v>
      </c>
      <c r="J72" t="s">
        <v>7</v>
      </c>
      <c r="K72" t="s">
        <v>37</v>
      </c>
      <c r="L72" t="s">
        <v>30</v>
      </c>
      <c r="M72" s="2">
        <v>6454</v>
      </c>
      <c r="N72" s="3">
        <v>54</v>
      </c>
      <c r="Q72" t="s">
        <v>3</v>
      </c>
      <c r="R72" t="s">
        <v>35</v>
      </c>
      <c r="S72" t="s">
        <v>25</v>
      </c>
      <c r="T72" s="2">
        <v>2464</v>
      </c>
      <c r="U72" s="3">
        <v>234</v>
      </c>
    </row>
    <row r="73" spans="3:21" x14ac:dyDescent="0.3">
      <c r="C73" t="s">
        <v>3</v>
      </c>
      <c r="D73" t="s">
        <v>35</v>
      </c>
      <c r="E73" t="s">
        <v>25</v>
      </c>
      <c r="F73" s="2">
        <v>2464</v>
      </c>
      <c r="G73" s="3">
        <v>234</v>
      </c>
      <c r="J73" t="s">
        <v>8</v>
      </c>
      <c r="K73" t="s">
        <v>38</v>
      </c>
      <c r="L73" t="s">
        <v>21</v>
      </c>
      <c r="M73" s="2">
        <v>6433</v>
      </c>
      <c r="N73" s="3">
        <v>78</v>
      </c>
      <c r="Q73" t="s">
        <v>8</v>
      </c>
      <c r="R73" t="s">
        <v>38</v>
      </c>
      <c r="S73" t="s">
        <v>23</v>
      </c>
      <c r="T73" s="2">
        <v>1701</v>
      </c>
      <c r="U73" s="3">
        <v>234</v>
      </c>
    </row>
    <row r="74" spans="3:21" x14ac:dyDescent="0.3">
      <c r="C74" t="s">
        <v>8</v>
      </c>
      <c r="D74" t="s">
        <v>38</v>
      </c>
      <c r="E74" t="s">
        <v>23</v>
      </c>
      <c r="F74" s="2">
        <v>1701</v>
      </c>
      <c r="G74" s="3">
        <v>234</v>
      </c>
      <c r="J74" t="s">
        <v>41</v>
      </c>
      <c r="K74" t="s">
        <v>37</v>
      </c>
      <c r="L74" t="s">
        <v>24</v>
      </c>
      <c r="M74" s="2">
        <v>6398</v>
      </c>
      <c r="N74" s="3">
        <v>102</v>
      </c>
      <c r="Q74" t="s">
        <v>40</v>
      </c>
      <c r="R74" t="s">
        <v>35</v>
      </c>
      <c r="S74" t="s">
        <v>32</v>
      </c>
      <c r="T74" s="2">
        <v>12348</v>
      </c>
      <c r="U74" s="3">
        <v>234</v>
      </c>
    </row>
    <row r="75" spans="3:21" x14ac:dyDescent="0.3">
      <c r="C75" t="s">
        <v>41</v>
      </c>
      <c r="D75" t="s">
        <v>36</v>
      </c>
      <c r="E75" t="s">
        <v>13</v>
      </c>
      <c r="F75" s="2">
        <v>10311</v>
      </c>
      <c r="G75" s="3">
        <v>231</v>
      </c>
      <c r="J75" t="s">
        <v>7</v>
      </c>
      <c r="K75" t="s">
        <v>37</v>
      </c>
      <c r="L75" t="s">
        <v>33</v>
      </c>
      <c r="M75" s="2">
        <v>6391</v>
      </c>
      <c r="N75" s="3">
        <v>48</v>
      </c>
      <c r="Q75" t="s">
        <v>41</v>
      </c>
      <c r="R75" t="s">
        <v>36</v>
      </c>
      <c r="S75" t="s">
        <v>13</v>
      </c>
      <c r="T75" s="2">
        <v>10311</v>
      </c>
      <c r="U75" s="3">
        <v>231</v>
      </c>
    </row>
    <row r="76" spans="3:21" x14ac:dyDescent="0.3">
      <c r="C76" t="s">
        <v>41</v>
      </c>
      <c r="D76" t="s">
        <v>37</v>
      </c>
      <c r="E76" t="s">
        <v>15</v>
      </c>
      <c r="F76" s="2">
        <v>714</v>
      </c>
      <c r="G76" s="3">
        <v>231</v>
      </c>
      <c r="J76" t="s">
        <v>40</v>
      </c>
      <c r="K76" t="s">
        <v>39</v>
      </c>
      <c r="L76" t="s">
        <v>27</v>
      </c>
      <c r="M76" s="2">
        <v>6370</v>
      </c>
      <c r="N76" s="3">
        <v>30</v>
      </c>
      <c r="Q76" t="s">
        <v>41</v>
      </c>
      <c r="R76" t="s">
        <v>37</v>
      </c>
      <c r="S76" t="s">
        <v>15</v>
      </c>
      <c r="T76" s="2">
        <v>714</v>
      </c>
      <c r="U76" s="3">
        <v>231</v>
      </c>
    </row>
    <row r="77" spans="3:21" x14ac:dyDescent="0.3">
      <c r="C77" t="s">
        <v>10</v>
      </c>
      <c r="D77" t="s">
        <v>35</v>
      </c>
      <c r="E77" t="s">
        <v>21</v>
      </c>
      <c r="F77" s="2">
        <v>567</v>
      </c>
      <c r="G77" s="3">
        <v>228</v>
      </c>
      <c r="J77" t="s">
        <v>5</v>
      </c>
      <c r="K77" t="s">
        <v>36</v>
      </c>
      <c r="L77" t="s">
        <v>23</v>
      </c>
      <c r="M77" s="2">
        <v>6314</v>
      </c>
      <c r="N77" s="3">
        <v>15</v>
      </c>
      <c r="Q77" t="s">
        <v>10</v>
      </c>
      <c r="R77" t="s">
        <v>35</v>
      </c>
      <c r="S77" t="s">
        <v>21</v>
      </c>
      <c r="T77" s="2">
        <v>567</v>
      </c>
      <c r="U77" s="3">
        <v>228</v>
      </c>
    </row>
    <row r="78" spans="3:21" x14ac:dyDescent="0.3">
      <c r="C78" t="s">
        <v>7</v>
      </c>
      <c r="D78" t="s">
        <v>37</v>
      </c>
      <c r="E78" t="s">
        <v>14</v>
      </c>
      <c r="F78" s="2">
        <v>6608</v>
      </c>
      <c r="G78" s="3">
        <v>225</v>
      </c>
      <c r="J78" t="s">
        <v>3</v>
      </c>
      <c r="K78" t="s">
        <v>34</v>
      </c>
      <c r="L78" t="s">
        <v>25</v>
      </c>
      <c r="M78" s="2">
        <v>6300</v>
      </c>
      <c r="N78" s="3">
        <v>42</v>
      </c>
      <c r="Q78" t="s">
        <v>7</v>
      </c>
      <c r="R78" t="s">
        <v>37</v>
      </c>
      <c r="S78" t="s">
        <v>14</v>
      </c>
      <c r="T78" s="2">
        <v>6608</v>
      </c>
      <c r="U78" s="3">
        <v>225</v>
      </c>
    </row>
    <row r="79" spans="3:21" x14ac:dyDescent="0.3">
      <c r="C79" t="s">
        <v>40</v>
      </c>
      <c r="D79" t="s">
        <v>39</v>
      </c>
      <c r="E79" t="s">
        <v>28</v>
      </c>
      <c r="F79" s="2">
        <v>3101</v>
      </c>
      <c r="G79" s="3">
        <v>225</v>
      </c>
      <c r="J79" t="s">
        <v>8</v>
      </c>
      <c r="K79" t="s">
        <v>37</v>
      </c>
      <c r="L79" t="s">
        <v>26</v>
      </c>
      <c r="M79" s="2">
        <v>6279</v>
      </c>
      <c r="N79" s="3">
        <v>45</v>
      </c>
      <c r="Q79" t="s">
        <v>41</v>
      </c>
      <c r="R79" t="s">
        <v>34</v>
      </c>
      <c r="S79" t="s">
        <v>16</v>
      </c>
      <c r="T79" s="2">
        <v>1274</v>
      </c>
      <c r="U79" s="3">
        <v>225</v>
      </c>
    </row>
    <row r="80" spans="3:21" x14ac:dyDescent="0.3">
      <c r="C80" t="s">
        <v>41</v>
      </c>
      <c r="D80" t="s">
        <v>34</v>
      </c>
      <c r="E80" t="s">
        <v>16</v>
      </c>
      <c r="F80" s="2">
        <v>1274</v>
      </c>
      <c r="G80" s="3">
        <v>225</v>
      </c>
      <c r="J80" t="s">
        <v>5</v>
      </c>
      <c r="K80" t="s">
        <v>34</v>
      </c>
      <c r="L80" t="s">
        <v>22</v>
      </c>
      <c r="M80" s="2">
        <v>6279</v>
      </c>
      <c r="N80" s="3">
        <v>237</v>
      </c>
      <c r="Q80" t="s">
        <v>40</v>
      </c>
      <c r="R80" t="s">
        <v>39</v>
      </c>
      <c r="S80" t="s">
        <v>28</v>
      </c>
      <c r="T80" s="2">
        <v>3101</v>
      </c>
      <c r="U80" s="3">
        <v>225</v>
      </c>
    </row>
    <row r="81" spans="3:21" x14ac:dyDescent="0.3">
      <c r="C81" t="s">
        <v>8</v>
      </c>
      <c r="D81" t="s">
        <v>34</v>
      </c>
      <c r="E81" t="s">
        <v>16</v>
      </c>
      <c r="F81" s="2">
        <v>2009</v>
      </c>
      <c r="G81" s="3">
        <v>219</v>
      </c>
      <c r="J81" t="s">
        <v>5</v>
      </c>
      <c r="K81" t="s">
        <v>36</v>
      </c>
      <c r="L81" t="s">
        <v>13</v>
      </c>
      <c r="M81" s="2">
        <v>6146</v>
      </c>
      <c r="N81" s="3">
        <v>63</v>
      </c>
      <c r="Q81" t="s">
        <v>8</v>
      </c>
      <c r="R81" t="s">
        <v>34</v>
      </c>
      <c r="S81" t="s">
        <v>16</v>
      </c>
      <c r="T81" s="2">
        <v>2009</v>
      </c>
      <c r="U81" s="3">
        <v>219</v>
      </c>
    </row>
    <row r="82" spans="3:21" x14ac:dyDescent="0.3">
      <c r="C82" t="s">
        <v>41</v>
      </c>
      <c r="D82" t="s">
        <v>35</v>
      </c>
      <c r="E82" t="s">
        <v>28</v>
      </c>
      <c r="F82" s="2">
        <v>7455</v>
      </c>
      <c r="G82" s="3">
        <v>216</v>
      </c>
      <c r="J82" t="s">
        <v>40</v>
      </c>
      <c r="K82" t="s">
        <v>37</v>
      </c>
      <c r="L82" t="s">
        <v>27</v>
      </c>
      <c r="M82" s="2">
        <v>6132</v>
      </c>
      <c r="N82" s="3">
        <v>93</v>
      </c>
      <c r="Q82" t="s">
        <v>41</v>
      </c>
      <c r="R82" t="s">
        <v>35</v>
      </c>
      <c r="S82" t="s">
        <v>28</v>
      </c>
      <c r="T82" s="2">
        <v>7455</v>
      </c>
      <c r="U82" s="3">
        <v>216</v>
      </c>
    </row>
    <row r="83" spans="3:21" x14ac:dyDescent="0.3">
      <c r="C83" t="s">
        <v>2</v>
      </c>
      <c r="D83" t="s">
        <v>39</v>
      </c>
      <c r="E83" t="s">
        <v>21</v>
      </c>
      <c r="F83" s="2">
        <v>7651</v>
      </c>
      <c r="G83" s="3">
        <v>213</v>
      </c>
      <c r="J83" t="s">
        <v>40</v>
      </c>
      <c r="K83" t="s">
        <v>38</v>
      </c>
      <c r="L83" t="s">
        <v>4</v>
      </c>
      <c r="M83" s="2">
        <v>6125</v>
      </c>
      <c r="N83" s="3">
        <v>102</v>
      </c>
      <c r="Q83" t="s">
        <v>8</v>
      </c>
      <c r="R83" t="s">
        <v>38</v>
      </c>
      <c r="S83" t="s">
        <v>32</v>
      </c>
      <c r="T83" s="2">
        <v>3752</v>
      </c>
      <c r="U83" s="3">
        <v>213</v>
      </c>
    </row>
    <row r="84" spans="3:21" x14ac:dyDescent="0.3">
      <c r="C84" t="s">
        <v>8</v>
      </c>
      <c r="D84" t="s">
        <v>38</v>
      </c>
      <c r="E84" t="s">
        <v>32</v>
      </c>
      <c r="F84" s="2">
        <v>3752</v>
      </c>
      <c r="G84" s="3">
        <v>213</v>
      </c>
      <c r="J84" t="s">
        <v>6</v>
      </c>
      <c r="K84" t="s">
        <v>36</v>
      </c>
      <c r="L84" t="s">
        <v>32</v>
      </c>
      <c r="M84" s="2">
        <v>6118</v>
      </c>
      <c r="N84" s="3">
        <v>9</v>
      </c>
      <c r="Q84" t="s">
        <v>2</v>
      </c>
      <c r="R84" t="s">
        <v>39</v>
      </c>
      <c r="S84" t="s">
        <v>21</v>
      </c>
      <c r="T84" s="2">
        <v>7651</v>
      </c>
      <c r="U84" s="3">
        <v>213</v>
      </c>
    </row>
    <row r="85" spans="3:21" x14ac:dyDescent="0.3">
      <c r="C85" t="s">
        <v>8</v>
      </c>
      <c r="D85" t="s">
        <v>39</v>
      </c>
      <c r="E85" t="s">
        <v>31</v>
      </c>
      <c r="F85" s="2">
        <v>8890</v>
      </c>
      <c r="G85" s="3">
        <v>210</v>
      </c>
      <c r="J85" t="s">
        <v>41</v>
      </c>
      <c r="K85" t="s">
        <v>36</v>
      </c>
      <c r="L85" t="s">
        <v>30</v>
      </c>
      <c r="M85" s="2">
        <v>6118</v>
      </c>
      <c r="N85" s="3">
        <v>174</v>
      </c>
      <c r="Q85" t="s">
        <v>8</v>
      </c>
      <c r="R85" t="s">
        <v>35</v>
      </c>
      <c r="S85" t="s">
        <v>22</v>
      </c>
      <c r="T85" s="2">
        <v>5012</v>
      </c>
      <c r="U85" s="3">
        <v>210</v>
      </c>
    </row>
    <row r="86" spans="3:21" x14ac:dyDescent="0.3">
      <c r="C86" t="s">
        <v>8</v>
      </c>
      <c r="D86" t="s">
        <v>35</v>
      </c>
      <c r="E86" t="s">
        <v>22</v>
      </c>
      <c r="F86" s="2">
        <v>5012</v>
      </c>
      <c r="G86" s="3">
        <v>210</v>
      </c>
      <c r="J86" t="s">
        <v>5</v>
      </c>
      <c r="K86" t="s">
        <v>36</v>
      </c>
      <c r="L86" t="s">
        <v>18</v>
      </c>
      <c r="M86" s="2">
        <v>6111</v>
      </c>
      <c r="N86" s="3">
        <v>3</v>
      </c>
      <c r="Q86" t="s">
        <v>8</v>
      </c>
      <c r="R86" t="s">
        <v>39</v>
      </c>
      <c r="S86" t="s">
        <v>31</v>
      </c>
      <c r="T86" s="2">
        <v>8890</v>
      </c>
      <c r="U86" s="3">
        <v>210</v>
      </c>
    </row>
    <row r="87" spans="3:21" x14ac:dyDescent="0.3">
      <c r="C87" t="s">
        <v>7</v>
      </c>
      <c r="D87" t="s">
        <v>37</v>
      </c>
      <c r="E87" t="s">
        <v>22</v>
      </c>
      <c r="F87" s="2">
        <v>9835</v>
      </c>
      <c r="G87" s="3">
        <v>207</v>
      </c>
      <c r="J87" t="s">
        <v>6</v>
      </c>
      <c r="K87" t="s">
        <v>39</v>
      </c>
      <c r="L87" t="s">
        <v>17</v>
      </c>
      <c r="M87" s="2">
        <v>6048</v>
      </c>
      <c r="N87" s="3">
        <v>27</v>
      </c>
      <c r="Q87" t="s">
        <v>6</v>
      </c>
      <c r="R87" t="s">
        <v>34</v>
      </c>
      <c r="S87" t="s">
        <v>27</v>
      </c>
      <c r="T87" s="2">
        <v>4242</v>
      </c>
      <c r="U87" s="3">
        <v>207</v>
      </c>
    </row>
    <row r="88" spans="3:21" x14ac:dyDescent="0.3">
      <c r="C88" t="s">
        <v>6</v>
      </c>
      <c r="D88" t="s">
        <v>34</v>
      </c>
      <c r="E88" t="s">
        <v>27</v>
      </c>
      <c r="F88" s="2">
        <v>4242</v>
      </c>
      <c r="G88" s="3">
        <v>207</v>
      </c>
      <c r="J88" t="s">
        <v>2</v>
      </c>
      <c r="K88" t="s">
        <v>39</v>
      </c>
      <c r="L88" t="s">
        <v>28</v>
      </c>
      <c r="M88" s="2">
        <v>6027</v>
      </c>
      <c r="N88" s="3">
        <v>144</v>
      </c>
      <c r="Q88" t="s">
        <v>9</v>
      </c>
      <c r="R88" t="s">
        <v>37</v>
      </c>
      <c r="S88" t="s">
        <v>4</v>
      </c>
      <c r="T88" s="2">
        <v>259</v>
      </c>
      <c r="U88" s="3">
        <v>207</v>
      </c>
    </row>
    <row r="89" spans="3:21" x14ac:dyDescent="0.3">
      <c r="C89" t="s">
        <v>9</v>
      </c>
      <c r="D89" t="s">
        <v>37</v>
      </c>
      <c r="E89" t="s">
        <v>4</v>
      </c>
      <c r="F89" s="2">
        <v>259</v>
      </c>
      <c r="G89" s="3">
        <v>207</v>
      </c>
      <c r="J89" t="s">
        <v>41</v>
      </c>
      <c r="K89" t="s">
        <v>38</v>
      </c>
      <c r="L89" t="s">
        <v>22</v>
      </c>
      <c r="M89" s="2">
        <v>5915</v>
      </c>
      <c r="N89" s="3">
        <v>3</v>
      </c>
      <c r="Q89" t="s">
        <v>7</v>
      </c>
      <c r="R89" t="s">
        <v>37</v>
      </c>
      <c r="S89" t="s">
        <v>22</v>
      </c>
      <c r="T89" s="2">
        <v>9835</v>
      </c>
      <c r="U89" s="3">
        <v>207</v>
      </c>
    </row>
    <row r="90" spans="3:21" x14ac:dyDescent="0.3">
      <c r="C90" t="s">
        <v>9</v>
      </c>
      <c r="D90" t="s">
        <v>36</v>
      </c>
      <c r="E90" t="s">
        <v>27</v>
      </c>
      <c r="F90" s="2">
        <v>11522</v>
      </c>
      <c r="G90" s="3">
        <v>204</v>
      </c>
      <c r="J90" t="s">
        <v>40</v>
      </c>
      <c r="K90" t="s">
        <v>39</v>
      </c>
      <c r="L90" t="s">
        <v>22</v>
      </c>
      <c r="M90" s="2">
        <v>5817</v>
      </c>
      <c r="N90" s="3">
        <v>12</v>
      </c>
      <c r="Q90" t="s">
        <v>8</v>
      </c>
      <c r="R90" t="s">
        <v>37</v>
      </c>
      <c r="S90" t="s">
        <v>19</v>
      </c>
      <c r="T90" s="2">
        <v>1771</v>
      </c>
      <c r="U90" s="3">
        <v>204</v>
      </c>
    </row>
    <row r="91" spans="3:21" x14ac:dyDescent="0.3">
      <c r="C91" t="s">
        <v>10</v>
      </c>
      <c r="D91" t="s">
        <v>34</v>
      </c>
      <c r="E91" t="s">
        <v>19</v>
      </c>
      <c r="F91" s="2">
        <v>5355</v>
      </c>
      <c r="G91" s="3">
        <v>204</v>
      </c>
      <c r="J91" t="s">
        <v>40</v>
      </c>
      <c r="K91" t="s">
        <v>39</v>
      </c>
      <c r="L91" t="s">
        <v>15</v>
      </c>
      <c r="M91" s="2">
        <v>5775</v>
      </c>
      <c r="N91" s="3">
        <v>42</v>
      </c>
      <c r="Q91" t="s">
        <v>41</v>
      </c>
      <c r="R91" t="s">
        <v>36</v>
      </c>
      <c r="S91" t="s">
        <v>26</v>
      </c>
      <c r="T91" s="2">
        <v>98</v>
      </c>
      <c r="U91" s="3">
        <v>204</v>
      </c>
    </row>
    <row r="92" spans="3:21" x14ac:dyDescent="0.3">
      <c r="C92" t="s">
        <v>9</v>
      </c>
      <c r="D92" t="s">
        <v>39</v>
      </c>
      <c r="E92" t="s">
        <v>18</v>
      </c>
      <c r="F92" s="2">
        <v>2639</v>
      </c>
      <c r="G92" s="3">
        <v>204</v>
      </c>
      <c r="J92" t="s">
        <v>7</v>
      </c>
      <c r="K92" t="s">
        <v>38</v>
      </c>
      <c r="L92" t="s">
        <v>28</v>
      </c>
      <c r="M92" s="2">
        <v>5677</v>
      </c>
      <c r="N92" s="3">
        <v>258</v>
      </c>
      <c r="Q92" t="s">
        <v>9</v>
      </c>
      <c r="R92" t="s">
        <v>36</v>
      </c>
      <c r="S92" t="s">
        <v>27</v>
      </c>
      <c r="T92" s="2">
        <v>11522</v>
      </c>
      <c r="U92" s="3">
        <v>204</v>
      </c>
    </row>
    <row r="93" spans="3:21" x14ac:dyDescent="0.3">
      <c r="C93" t="s">
        <v>8</v>
      </c>
      <c r="D93" t="s">
        <v>37</v>
      </c>
      <c r="E93" t="s">
        <v>19</v>
      </c>
      <c r="F93" s="2">
        <v>1771</v>
      </c>
      <c r="G93" s="3">
        <v>204</v>
      </c>
      <c r="J93" t="s">
        <v>40</v>
      </c>
      <c r="K93" t="s">
        <v>38</v>
      </c>
      <c r="L93" t="s">
        <v>13</v>
      </c>
      <c r="M93" s="2">
        <v>5670</v>
      </c>
      <c r="N93" s="3">
        <v>297</v>
      </c>
      <c r="Q93" t="s">
        <v>10</v>
      </c>
      <c r="R93" t="s">
        <v>34</v>
      </c>
      <c r="S93" t="s">
        <v>19</v>
      </c>
      <c r="T93" s="2">
        <v>5355</v>
      </c>
      <c r="U93" s="3">
        <v>204</v>
      </c>
    </row>
    <row r="94" spans="3:21" x14ac:dyDescent="0.3">
      <c r="C94" t="s">
        <v>41</v>
      </c>
      <c r="D94" t="s">
        <v>36</v>
      </c>
      <c r="E94" t="s">
        <v>26</v>
      </c>
      <c r="F94" s="2">
        <v>98</v>
      </c>
      <c r="G94" s="3">
        <v>204</v>
      </c>
      <c r="J94" t="s">
        <v>10</v>
      </c>
      <c r="K94" t="s">
        <v>38</v>
      </c>
      <c r="L94" t="s">
        <v>14</v>
      </c>
      <c r="M94" s="2">
        <v>5586</v>
      </c>
      <c r="N94" s="3">
        <v>525</v>
      </c>
      <c r="Q94" t="s">
        <v>9</v>
      </c>
      <c r="R94" t="s">
        <v>39</v>
      </c>
      <c r="S94" t="s">
        <v>18</v>
      </c>
      <c r="T94" s="2">
        <v>2639</v>
      </c>
      <c r="U94" s="3">
        <v>204</v>
      </c>
    </row>
    <row r="95" spans="3:21" x14ac:dyDescent="0.3">
      <c r="C95" t="s">
        <v>5</v>
      </c>
      <c r="D95" t="s">
        <v>35</v>
      </c>
      <c r="E95" t="s">
        <v>15</v>
      </c>
      <c r="F95" s="2">
        <v>13391</v>
      </c>
      <c r="G95" s="3">
        <v>201</v>
      </c>
      <c r="J95" t="s">
        <v>7</v>
      </c>
      <c r="K95" t="s">
        <v>36</v>
      </c>
      <c r="L95" t="s">
        <v>29</v>
      </c>
      <c r="M95" s="2">
        <v>5551</v>
      </c>
      <c r="N95" s="3">
        <v>252</v>
      </c>
      <c r="Q95" t="s">
        <v>5</v>
      </c>
      <c r="R95" t="s">
        <v>35</v>
      </c>
      <c r="S95" t="s">
        <v>15</v>
      </c>
      <c r="T95" s="2">
        <v>13391</v>
      </c>
      <c r="U95" s="3">
        <v>201</v>
      </c>
    </row>
    <row r="96" spans="3:21" x14ac:dyDescent="0.3">
      <c r="C96" t="s">
        <v>2</v>
      </c>
      <c r="D96" t="s">
        <v>37</v>
      </c>
      <c r="E96" t="s">
        <v>17</v>
      </c>
      <c r="F96" s="2">
        <v>9926</v>
      </c>
      <c r="G96" s="3">
        <v>201</v>
      </c>
      <c r="J96" t="s">
        <v>5</v>
      </c>
      <c r="K96" t="s">
        <v>38</v>
      </c>
      <c r="L96" t="s">
        <v>19</v>
      </c>
      <c r="M96" s="2">
        <v>5474</v>
      </c>
      <c r="N96" s="3">
        <v>168</v>
      </c>
      <c r="Q96" t="s">
        <v>2</v>
      </c>
      <c r="R96" t="s">
        <v>37</v>
      </c>
      <c r="S96" t="s">
        <v>17</v>
      </c>
      <c r="T96" s="2">
        <v>9926</v>
      </c>
      <c r="U96" s="3">
        <v>201</v>
      </c>
    </row>
    <row r="97" spans="3:21" x14ac:dyDescent="0.3">
      <c r="C97" t="s">
        <v>5</v>
      </c>
      <c r="D97" t="s">
        <v>34</v>
      </c>
      <c r="E97" t="s">
        <v>15</v>
      </c>
      <c r="F97" s="2">
        <v>7280</v>
      </c>
      <c r="G97" s="3">
        <v>201</v>
      </c>
      <c r="J97" t="s">
        <v>40</v>
      </c>
      <c r="K97" t="s">
        <v>36</v>
      </c>
      <c r="L97" t="s">
        <v>25</v>
      </c>
      <c r="M97" s="2">
        <v>5439</v>
      </c>
      <c r="N97" s="3">
        <v>30</v>
      </c>
      <c r="Q97" t="s">
        <v>5</v>
      </c>
      <c r="R97" t="s">
        <v>34</v>
      </c>
      <c r="S97" t="s">
        <v>15</v>
      </c>
      <c r="T97" s="2">
        <v>7280</v>
      </c>
      <c r="U97" s="3">
        <v>201</v>
      </c>
    </row>
    <row r="98" spans="3:21" x14ac:dyDescent="0.3">
      <c r="C98" t="s">
        <v>40</v>
      </c>
      <c r="D98" t="s">
        <v>36</v>
      </c>
      <c r="E98" t="s">
        <v>13</v>
      </c>
      <c r="F98" s="2">
        <v>4424</v>
      </c>
      <c r="G98" s="3">
        <v>201</v>
      </c>
      <c r="J98" t="s">
        <v>10</v>
      </c>
      <c r="K98" t="s">
        <v>34</v>
      </c>
      <c r="L98" t="s">
        <v>19</v>
      </c>
      <c r="M98" s="2">
        <v>5355</v>
      </c>
      <c r="N98" s="3">
        <v>204</v>
      </c>
      <c r="Q98" t="s">
        <v>40</v>
      </c>
      <c r="R98" t="s">
        <v>36</v>
      </c>
      <c r="S98" t="s">
        <v>13</v>
      </c>
      <c r="T98" s="2">
        <v>4424</v>
      </c>
      <c r="U98" s="3">
        <v>201</v>
      </c>
    </row>
    <row r="99" spans="3:21" x14ac:dyDescent="0.3">
      <c r="C99" t="s">
        <v>7</v>
      </c>
      <c r="D99" t="s">
        <v>39</v>
      </c>
      <c r="E99" t="s">
        <v>27</v>
      </c>
      <c r="F99" s="2">
        <v>966</v>
      </c>
      <c r="G99" s="3">
        <v>198</v>
      </c>
      <c r="J99" t="s">
        <v>7</v>
      </c>
      <c r="K99" t="s">
        <v>37</v>
      </c>
      <c r="L99" t="s">
        <v>26</v>
      </c>
      <c r="M99" s="2">
        <v>5306</v>
      </c>
      <c r="N99" s="3">
        <v>0</v>
      </c>
      <c r="Q99" t="s">
        <v>7</v>
      </c>
      <c r="R99" t="s">
        <v>39</v>
      </c>
      <c r="S99" t="s">
        <v>27</v>
      </c>
      <c r="T99" s="2">
        <v>966</v>
      </c>
      <c r="U99" s="3">
        <v>198</v>
      </c>
    </row>
    <row r="100" spans="3:21" x14ac:dyDescent="0.3">
      <c r="C100" t="s">
        <v>10</v>
      </c>
      <c r="D100" t="s">
        <v>35</v>
      </c>
      <c r="E100" t="s">
        <v>20</v>
      </c>
      <c r="F100" s="2">
        <v>1974</v>
      </c>
      <c r="G100" s="3">
        <v>195</v>
      </c>
      <c r="J100" t="s">
        <v>5</v>
      </c>
      <c r="K100" t="s">
        <v>39</v>
      </c>
      <c r="L100" t="s">
        <v>26</v>
      </c>
      <c r="M100" s="2">
        <v>5236</v>
      </c>
      <c r="N100" s="3">
        <v>51</v>
      </c>
      <c r="Q100" t="s">
        <v>10</v>
      </c>
      <c r="R100" t="s">
        <v>35</v>
      </c>
      <c r="S100" t="s">
        <v>20</v>
      </c>
      <c r="T100" s="2">
        <v>1974</v>
      </c>
      <c r="U100" s="3">
        <v>195</v>
      </c>
    </row>
    <row r="101" spans="3:21" x14ac:dyDescent="0.3">
      <c r="C101" t="s">
        <v>8</v>
      </c>
      <c r="D101" t="s">
        <v>37</v>
      </c>
      <c r="E101" t="s">
        <v>22</v>
      </c>
      <c r="F101" s="2">
        <v>1890</v>
      </c>
      <c r="G101" s="3">
        <v>195</v>
      </c>
      <c r="J101" t="s">
        <v>7</v>
      </c>
      <c r="K101" t="s">
        <v>35</v>
      </c>
      <c r="L101" t="s">
        <v>28</v>
      </c>
      <c r="M101" s="2">
        <v>5194</v>
      </c>
      <c r="N101" s="3">
        <v>288</v>
      </c>
      <c r="Q101" t="s">
        <v>5</v>
      </c>
      <c r="R101" t="s">
        <v>34</v>
      </c>
      <c r="S101" t="s">
        <v>19</v>
      </c>
      <c r="T101" s="2">
        <v>861</v>
      </c>
      <c r="U101" s="3">
        <v>195</v>
      </c>
    </row>
    <row r="102" spans="3:21" x14ac:dyDescent="0.3">
      <c r="C102" t="s">
        <v>5</v>
      </c>
      <c r="D102" t="s">
        <v>34</v>
      </c>
      <c r="E102" t="s">
        <v>19</v>
      </c>
      <c r="F102" s="2">
        <v>861</v>
      </c>
      <c r="G102" s="3">
        <v>195</v>
      </c>
      <c r="J102" t="s">
        <v>5</v>
      </c>
      <c r="K102" t="s">
        <v>38</v>
      </c>
      <c r="L102" t="s">
        <v>32</v>
      </c>
      <c r="M102" s="2">
        <v>5075</v>
      </c>
      <c r="N102" s="3">
        <v>21</v>
      </c>
      <c r="Q102" t="s">
        <v>8</v>
      </c>
      <c r="R102" t="s">
        <v>37</v>
      </c>
      <c r="S102" t="s">
        <v>22</v>
      </c>
      <c r="T102" s="2">
        <v>1890</v>
      </c>
      <c r="U102" s="3">
        <v>195</v>
      </c>
    </row>
    <row r="103" spans="3:21" x14ac:dyDescent="0.3">
      <c r="C103" t="s">
        <v>41</v>
      </c>
      <c r="D103" t="s">
        <v>36</v>
      </c>
      <c r="E103" t="s">
        <v>19</v>
      </c>
      <c r="F103" s="2">
        <v>1925</v>
      </c>
      <c r="G103" s="3">
        <v>192</v>
      </c>
      <c r="J103" t="s">
        <v>8</v>
      </c>
      <c r="K103" t="s">
        <v>36</v>
      </c>
      <c r="L103" t="s">
        <v>23</v>
      </c>
      <c r="M103" s="2">
        <v>5019</v>
      </c>
      <c r="N103" s="3">
        <v>150</v>
      </c>
      <c r="Q103" t="s">
        <v>41</v>
      </c>
      <c r="R103" t="s">
        <v>36</v>
      </c>
      <c r="S103" t="s">
        <v>19</v>
      </c>
      <c r="T103" s="2">
        <v>1925</v>
      </c>
      <c r="U103" s="3">
        <v>192</v>
      </c>
    </row>
    <row r="104" spans="3:21" x14ac:dyDescent="0.3">
      <c r="C104" t="s">
        <v>7</v>
      </c>
      <c r="D104" t="s">
        <v>34</v>
      </c>
      <c r="E104" t="s">
        <v>24</v>
      </c>
      <c r="F104" s="2">
        <v>8862</v>
      </c>
      <c r="G104" s="3">
        <v>189</v>
      </c>
      <c r="J104" t="s">
        <v>40</v>
      </c>
      <c r="K104" t="s">
        <v>34</v>
      </c>
      <c r="L104" t="s">
        <v>17</v>
      </c>
      <c r="M104" s="2">
        <v>5019</v>
      </c>
      <c r="N104" s="3">
        <v>156</v>
      </c>
      <c r="Q104" t="s">
        <v>6</v>
      </c>
      <c r="R104" t="s">
        <v>37</v>
      </c>
      <c r="S104" t="s">
        <v>23</v>
      </c>
      <c r="T104" s="2">
        <v>4949</v>
      </c>
      <c r="U104" s="3">
        <v>189</v>
      </c>
    </row>
    <row r="105" spans="3:21" x14ac:dyDescent="0.3">
      <c r="C105" t="s">
        <v>6</v>
      </c>
      <c r="D105" t="s">
        <v>37</v>
      </c>
      <c r="E105" t="s">
        <v>23</v>
      </c>
      <c r="F105" s="2">
        <v>4949</v>
      </c>
      <c r="G105" s="3">
        <v>189</v>
      </c>
      <c r="J105" t="s">
        <v>8</v>
      </c>
      <c r="K105" t="s">
        <v>35</v>
      </c>
      <c r="L105" t="s">
        <v>22</v>
      </c>
      <c r="M105" s="2">
        <v>5012</v>
      </c>
      <c r="N105" s="3">
        <v>210</v>
      </c>
      <c r="Q105" t="s">
        <v>7</v>
      </c>
      <c r="R105" t="s">
        <v>34</v>
      </c>
      <c r="S105" t="s">
        <v>24</v>
      </c>
      <c r="T105" s="2">
        <v>8862</v>
      </c>
      <c r="U105" s="3">
        <v>189</v>
      </c>
    </row>
    <row r="106" spans="3:21" x14ac:dyDescent="0.3">
      <c r="C106" t="s">
        <v>9</v>
      </c>
      <c r="D106" t="s">
        <v>36</v>
      </c>
      <c r="E106" t="s">
        <v>32</v>
      </c>
      <c r="F106" s="2">
        <v>2954</v>
      </c>
      <c r="G106" s="3">
        <v>189</v>
      </c>
      <c r="J106" t="s">
        <v>10</v>
      </c>
      <c r="K106" t="s">
        <v>34</v>
      </c>
      <c r="L106" t="s">
        <v>26</v>
      </c>
      <c r="M106" s="2">
        <v>4991</v>
      </c>
      <c r="N106" s="3">
        <v>9</v>
      </c>
      <c r="Q106" t="s">
        <v>9</v>
      </c>
      <c r="R106" t="s">
        <v>34</v>
      </c>
      <c r="S106" t="s">
        <v>16</v>
      </c>
      <c r="T106" s="2">
        <v>938</v>
      </c>
      <c r="U106" s="3">
        <v>189</v>
      </c>
    </row>
    <row r="107" spans="3:21" x14ac:dyDescent="0.3">
      <c r="C107" t="s">
        <v>9</v>
      </c>
      <c r="D107" t="s">
        <v>34</v>
      </c>
      <c r="E107" t="s">
        <v>16</v>
      </c>
      <c r="F107" s="2">
        <v>938</v>
      </c>
      <c r="G107" s="3">
        <v>189</v>
      </c>
      <c r="J107" t="s">
        <v>5</v>
      </c>
      <c r="K107" t="s">
        <v>37</v>
      </c>
      <c r="L107" t="s">
        <v>14</v>
      </c>
      <c r="M107" s="2">
        <v>4991</v>
      </c>
      <c r="N107" s="3">
        <v>12</v>
      </c>
      <c r="Q107" t="s">
        <v>9</v>
      </c>
      <c r="R107" t="s">
        <v>36</v>
      </c>
      <c r="S107" t="s">
        <v>32</v>
      </c>
      <c r="T107" s="2">
        <v>2954</v>
      </c>
      <c r="U107" s="3">
        <v>189</v>
      </c>
    </row>
    <row r="108" spans="3:21" x14ac:dyDescent="0.3">
      <c r="C108" t="s">
        <v>41</v>
      </c>
      <c r="D108" t="s">
        <v>35</v>
      </c>
      <c r="E108" t="s">
        <v>15</v>
      </c>
      <c r="F108" s="2">
        <v>2114</v>
      </c>
      <c r="G108" s="3">
        <v>186</v>
      </c>
      <c r="J108" t="s">
        <v>6</v>
      </c>
      <c r="K108" t="s">
        <v>36</v>
      </c>
      <c r="L108" t="s">
        <v>17</v>
      </c>
      <c r="M108" s="2">
        <v>4970</v>
      </c>
      <c r="N108" s="3">
        <v>156</v>
      </c>
      <c r="Q108" t="s">
        <v>41</v>
      </c>
      <c r="R108" t="s">
        <v>35</v>
      </c>
      <c r="S108" t="s">
        <v>15</v>
      </c>
      <c r="T108" s="2">
        <v>2114</v>
      </c>
      <c r="U108" s="3">
        <v>186</v>
      </c>
    </row>
    <row r="109" spans="3:21" x14ac:dyDescent="0.3">
      <c r="C109" t="s">
        <v>8</v>
      </c>
      <c r="D109" t="s">
        <v>39</v>
      </c>
      <c r="E109" t="s">
        <v>30</v>
      </c>
      <c r="F109" s="2">
        <v>7021</v>
      </c>
      <c r="G109" s="3">
        <v>183</v>
      </c>
      <c r="J109" t="s">
        <v>3</v>
      </c>
      <c r="K109" t="s">
        <v>39</v>
      </c>
      <c r="L109" t="s">
        <v>26</v>
      </c>
      <c r="M109" s="2">
        <v>4956</v>
      </c>
      <c r="N109" s="3">
        <v>171</v>
      </c>
      <c r="Q109" t="s">
        <v>8</v>
      </c>
      <c r="R109" t="s">
        <v>39</v>
      </c>
      <c r="S109" t="s">
        <v>30</v>
      </c>
      <c r="T109" s="2">
        <v>7021</v>
      </c>
      <c r="U109" s="3">
        <v>183</v>
      </c>
    </row>
    <row r="110" spans="3:21" x14ac:dyDescent="0.3">
      <c r="C110" t="s">
        <v>2</v>
      </c>
      <c r="D110" t="s">
        <v>38</v>
      </c>
      <c r="E110" t="s">
        <v>28</v>
      </c>
      <c r="F110" s="2">
        <v>6580</v>
      </c>
      <c r="G110" s="3">
        <v>183</v>
      </c>
      <c r="J110" t="s">
        <v>6</v>
      </c>
      <c r="K110" t="s">
        <v>37</v>
      </c>
      <c r="L110" t="s">
        <v>23</v>
      </c>
      <c r="M110" s="2">
        <v>4949</v>
      </c>
      <c r="N110" s="3">
        <v>189</v>
      </c>
      <c r="Q110" t="s">
        <v>2</v>
      </c>
      <c r="R110" t="s">
        <v>38</v>
      </c>
      <c r="S110" t="s">
        <v>28</v>
      </c>
      <c r="T110" s="2">
        <v>6580</v>
      </c>
      <c r="U110" s="3">
        <v>183</v>
      </c>
    </row>
    <row r="111" spans="3:21" x14ac:dyDescent="0.3">
      <c r="C111" t="s">
        <v>6</v>
      </c>
      <c r="D111" t="s">
        <v>35</v>
      </c>
      <c r="E111" t="s">
        <v>27</v>
      </c>
      <c r="F111" s="2">
        <v>3864</v>
      </c>
      <c r="G111" s="3">
        <v>177</v>
      </c>
      <c r="J111" t="s">
        <v>41</v>
      </c>
      <c r="K111" t="s">
        <v>34</v>
      </c>
      <c r="L111" t="s">
        <v>23</v>
      </c>
      <c r="M111" s="2">
        <v>4935</v>
      </c>
      <c r="N111" s="3">
        <v>126</v>
      </c>
      <c r="Q111" t="s">
        <v>7</v>
      </c>
      <c r="R111" t="s">
        <v>36</v>
      </c>
      <c r="S111" t="s">
        <v>18</v>
      </c>
      <c r="T111" s="2">
        <v>2646</v>
      </c>
      <c r="U111" s="3">
        <v>177</v>
      </c>
    </row>
    <row r="112" spans="3:21" x14ac:dyDescent="0.3">
      <c r="C112" t="s">
        <v>7</v>
      </c>
      <c r="D112" t="s">
        <v>36</v>
      </c>
      <c r="E112" t="s">
        <v>18</v>
      </c>
      <c r="F112" s="2">
        <v>2646</v>
      </c>
      <c r="G112" s="3">
        <v>177</v>
      </c>
      <c r="J112" t="s">
        <v>10</v>
      </c>
      <c r="K112" t="s">
        <v>39</v>
      </c>
      <c r="L112" t="s">
        <v>21</v>
      </c>
      <c r="M112" s="2">
        <v>4858</v>
      </c>
      <c r="N112" s="3">
        <v>279</v>
      </c>
      <c r="Q112" t="s">
        <v>41</v>
      </c>
      <c r="R112" t="s">
        <v>37</v>
      </c>
      <c r="S112" t="s">
        <v>26</v>
      </c>
      <c r="T112" s="2">
        <v>2324</v>
      </c>
      <c r="U112" s="3">
        <v>177</v>
      </c>
    </row>
    <row r="113" spans="3:21" x14ac:dyDescent="0.3">
      <c r="C113" t="s">
        <v>41</v>
      </c>
      <c r="D113" t="s">
        <v>37</v>
      </c>
      <c r="E113" t="s">
        <v>26</v>
      </c>
      <c r="F113" s="2">
        <v>2324</v>
      </c>
      <c r="G113" s="3">
        <v>177</v>
      </c>
      <c r="J113" t="s">
        <v>2</v>
      </c>
      <c r="K113" t="s">
        <v>39</v>
      </c>
      <c r="L113" t="s">
        <v>15</v>
      </c>
      <c r="M113" s="2">
        <v>4802</v>
      </c>
      <c r="N113" s="3">
        <v>36</v>
      </c>
      <c r="Q113" t="s">
        <v>6</v>
      </c>
      <c r="R113" t="s">
        <v>35</v>
      </c>
      <c r="S113" t="s">
        <v>27</v>
      </c>
      <c r="T113" s="2">
        <v>3864</v>
      </c>
      <c r="U113" s="3">
        <v>177</v>
      </c>
    </row>
    <row r="114" spans="3:21" x14ac:dyDescent="0.3">
      <c r="C114" t="s">
        <v>41</v>
      </c>
      <c r="D114" t="s">
        <v>34</v>
      </c>
      <c r="E114" t="s">
        <v>33</v>
      </c>
      <c r="F114" s="2">
        <v>7847</v>
      </c>
      <c r="G114" s="3">
        <v>174</v>
      </c>
      <c r="J114" t="s">
        <v>6</v>
      </c>
      <c r="K114" t="s">
        <v>35</v>
      </c>
      <c r="L114" t="s">
        <v>30</v>
      </c>
      <c r="M114" s="2">
        <v>4781</v>
      </c>
      <c r="N114" s="3">
        <v>123</v>
      </c>
      <c r="Q114" t="s">
        <v>41</v>
      </c>
      <c r="R114" t="s">
        <v>34</v>
      </c>
      <c r="S114" t="s">
        <v>33</v>
      </c>
      <c r="T114" s="2">
        <v>7847</v>
      </c>
      <c r="U114" s="3">
        <v>174</v>
      </c>
    </row>
    <row r="115" spans="3:21" x14ac:dyDescent="0.3">
      <c r="C115" t="s">
        <v>41</v>
      </c>
      <c r="D115" t="s">
        <v>36</v>
      </c>
      <c r="E115" t="s">
        <v>30</v>
      </c>
      <c r="F115" s="2">
        <v>6118</v>
      </c>
      <c r="G115" s="3">
        <v>174</v>
      </c>
      <c r="J115" t="s">
        <v>41</v>
      </c>
      <c r="K115" t="s">
        <v>35</v>
      </c>
      <c r="L115" t="s">
        <v>13</v>
      </c>
      <c r="M115" s="2">
        <v>4760</v>
      </c>
      <c r="N115" s="3">
        <v>69</v>
      </c>
      <c r="Q115" t="s">
        <v>9</v>
      </c>
      <c r="R115" t="s">
        <v>34</v>
      </c>
      <c r="S115" t="s">
        <v>17</v>
      </c>
      <c r="T115" s="2">
        <v>707</v>
      </c>
      <c r="U115" s="3">
        <v>174</v>
      </c>
    </row>
    <row r="116" spans="3:21" x14ac:dyDescent="0.3">
      <c r="C116" t="s">
        <v>40</v>
      </c>
      <c r="D116" t="s">
        <v>35</v>
      </c>
      <c r="E116" t="s">
        <v>16</v>
      </c>
      <c r="F116" s="2">
        <v>4725</v>
      </c>
      <c r="G116" s="3">
        <v>174</v>
      </c>
      <c r="J116" t="s">
        <v>5</v>
      </c>
      <c r="K116" t="s">
        <v>35</v>
      </c>
      <c r="L116" t="s">
        <v>31</v>
      </c>
      <c r="M116" s="2">
        <v>4753</v>
      </c>
      <c r="N116" s="3">
        <v>246</v>
      </c>
      <c r="Q116" t="s">
        <v>40</v>
      </c>
      <c r="R116" t="s">
        <v>35</v>
      </c>
      <c r="S116" t="s">
        <v>16</v>
      </c>
      <c r="T116" s="2">
        <v>4725</v>
      </c>
      <c r="U116" s="3">
        <v>174</v>
      </c>
    </row>
    <row r="117" spans="3:21" x14ac:dyDescent="0.3">
      <c r="C117" t="s">
        <v>9</v>
      </c>
      <c r="D117" t="s">
        <v>34</v>
      </c>
      <c r="E117" t="s">
        <v>17</v>
      </c>
      <c r="F117" s="2">
        <v>707</v>
      </c>
      <c r="G117" s="3">
        <v>174</v>
      </c>
      <c r="J117" t="s">
        <v>8</v>
      </c>
      <c r="K117" t="s">
        <v>35</v>
      </c>
      <c r="L117" t="s">
        <v>27</v>
      </c>
      <c r="M117" s="2">
        <v>4753</v>
      </c>
      <c r="N117" s="3">
        <v>300</v>
      </c>
      <c r="Q117" t="s">
        <v>41</v>
      </c>
      <c r="R117" t="s">
        <v>36</v>
      </c>
      <c r="S117" t="s">
        <v>30</v>
      </c>
      <c r="T117" s="2">
        <v>6118</v>
      </c>
      <c r="U117" s="3">
        <v>174</v>
      </c>
    </row>
    <row r="118" spans="3:21" x14ac:dyDescent="0.3">
      <c r="C118" t="s">
        <v>3</v>
      </c>
      <c r="D118" t="s">
        <v>39</v>
      </c>
      <c r="E118" t="s">
        <v>26</v>
      </c>
      <c r="F118" s="2">
        <v>4956</v>
      </c>
      <c r="G118" s="3">
        <v>171</v>
      </c>
      <c r="J118" t="s">
        <v>40</v>
      </c>
      <c r="K118" t="s">
        <v>35</v>
      </c>
      <c r="L118" t="s">
        <v>16</v>
      </c>
      <c r="M118" s="2">
        <v>4725</v>
      </c>
      <c r="N118" s="3">
        <v>174</v>
      </c>
      <c r="Q118" t="s">
        <v>3</v>
      </c>
      <c r="R118" t="s">
        <v>39</v>
      </c>
      <c r="S118" t="s">
        <v>26</v>
      </c>
      <c r="T118" s="2">
        <v>4956</v>
      </c>
      <c r="U118" s="3">
        <v>171</v>
      </c>
    </row>
    <row r="119" spans="3:21" x14ac:dyDescent="0.3">
      <c r="C119" t="s">
        <v>5</v>
      </c>
      <c r="D119" t="s">
        <v>39</v>
      </c>
      <c r="E119" t="s">
        <v>24</v>
      </c>
      <c r="F119" s="2">
        <v>4018</v>
      </c>
      <c r="G119" s="3">
        <v>171</v>
      </c>
      <c r="J119" t="s">
        <v>10</v>
      </c>
      <c r="K119" t="s">
        <v>37</v>
      </c>
      <c r="L119" t="s">
        <v>23</v>
      </c>
      <c r="M119" s="2">
        <v>4683</v>
      </c>
      <c r="N119" s="3">
        <v>30</v>
      </c>
      <c r="Q119" t="s">
        <v>5</v>
      </c>
      <c r="R119" t="s">
        <v>39</v>
      </c>
      <c r="S119" t="s">
        <v>24</v>
      </c>
      <c r="T119" s="2">
        <v>4018</v>
      </c>
      <c r="U119" s="3">
        <v>171</v>
      </c>
    </row>
    <row r="120" spans="3:21" x14ac:dyDescent="0.3">
      <c r="C120" t="s">
        <v>5</v>
      </c>
      <c r="D120" t="s">
        <v>38</v>
      </c>
      <c r="E120" t="s">
        <v>19</v>
      </c>
      <c r="F120" s="2">
        <v>5474</v>
      </c>
      <c r="G120" s="3">
        <v>168</v>
      </c>
      <c r="J120" t="s">
        <v>7</v>
      </c>
      <c r="K120" t="s">
        <v>35</v>
      </c>
      <c r="L120" t="s">
        <v>14</v>
      </c>
      <c r="M120" s="2">
        <v>4606</v>
      </c>
      <c r="N120" s="3">
        <v>63</v>
      </c>
      <c r="Q120" t="s">
        <v>3</v>
      </c>
      <c r="R120" t="s">
        <v>39</v>
      </c>
      <c r="S120" t="s">
        <v>16</v>
      </c>
      <c r="T120" s="2">
        <v>21</v>
      </c>
      <c r="U120" s="3">
        <v>168</v>
      </c>
    </row>
    <row r="121" spans="3:21" x14ac:dyDescent="0.3">
      <c r="C121" t="s">
        <v>8</v>
      </c>
      <c r="D121" t="s">
        <v>35</v>
      </c>
      <c r="E121" t="s">
        <v>29</v>
      </c>
      <c r="F121" s="2">
        <v>2023</v>
      </c>
      <c r="G121" s="3">
        <v>168</v>
      </c>
      <c r="J121" t="s">
        <v>3</v>
      </c>
      <c r="K121" t="s">
        <v>37</v>
      </c>
      <c r="L121" t="s">
        <v>29</v>
      </c>
      <c r="M121" s="2">
        <v>4592</v>
      </c>
      <c r="N121" s="3">
        <v>324</v>
      </c>
      <c r="Q121" t="s">
        <v>8</v>
      </c>
      <c r="R121" t="s">
        <v>35</v>
      </c>
      <c r="S121" t="s">
        <v>29</v>
      </c>
      <c r="T121" s="2">
        <v>2023</v>
      </c>
      <c r="U121" s="3">
        <v>168</v>
      </c>
    </row>
    <row r="122" spans="3:21" x14ac:dyDescent="0.3">
      <c r="C122" t="s">
        <v>3</v>
      </c>
      <c r="D122" t="s">
        <v>39</v>
      </c>
      <c r="E122" t="s">
        <v>16</v>
      </c>
      <c r="F122" s="2">
        <v>21</v>
      </c>
      <c r="G122" s="3">
        <v>168</v>
      </c>
      <c r="J122" t="s">
        <v>7</v>
      </c>
      <c r="K122" t="s">
        <v>35</v>
      </c>
      <c r="L122" t="s">
        <v>19</v>
      </c>
      <c r="M122" s="2">
        <v>4585</v>
      </c>
      <c r="N122" s="3">
        <v>240</v>
      </c>
      <c r="Q122" t="s">
        <v>5</v>
      </c>
      <c r="R122" t="s">
        <v>38</v>
      </c>
      <c r="S122" t="s">
        <v>19</v>
      </c>
      <c r="T122" s="2">
        <v>5474</v>
      </c>
      <c r="U122" s="3">
        <v>168</v>
      </c>
    </row>
    <row r="123" spans="3:21" x14ac:dyDescent="0.3">
      <c r="C123" t="s">
        <v>3</v>
      </c>
      <c r="D123" t="s">
        <v>36</v>
      </c>
      <c r="E123" t="s">
        <v>23</v>
      </c>
      <c r="F123" s="2">
        <v>3773</v>
      </c>
      <c r="G123" s="3">
        <v>165</v>
      </c>
      <c r="J123" t="s">
        <v>7</v>
      </c>
      <c r="K123" t="s">
        <v>37</v>
      </c>
      <c r="L123" t="s">
        <v>17</v>
      </c>
      <c r="M123" s="2">
        <v>4487</v>
      </c>
      <c r="N123" s="3">
        <v>111</v>
      </c>
      <c r="Q123" t="s">
        <v>3</v>
      </c>
      <c r="R123" t="s">
        <v>36</v>
      </c>
      <c r="S123" t="s">
        <v>23</v>
      </c>
      <c r="T123" s="2">
        <v>3773</v>
      </c>
      <c r="U123" s="3">
        <v>165</v>
      </c>
    </row>
    <row r="124" spans="3:21" x14ac:dyDescent="0.3">
      <c r="C124" t="s">
        <v>2</v>
      </c>
      <c r="D124" t="s">
        <v>39</v>
      </c>
      <c r="E124" t="s">
        <v>20</v>
      </c>
      <c r="F124" s="2">
        <v>9443</v>
      </c>
      <c r="G124" s="3">
        <v>162</v>
      </c>
      <c r="J124" t="s">
        <v>7</v>
      </c>
      <c r="K124" t="s">
        <v>37</v>
      </c>
      <c r="L124" t="s">
        <v>16</v>
      </c>
      <c r="M124" s="2">
        <v>4487</v>
      </c>
      <c r="N124" s="3">
        <v>333</v>
      </c>
      <c r="Q124" t="s">
        <v>2</v>
      </c>
      <c r="R124" t="s">
        <v>39</v>
      </c>
      <c r="S124" t="s">
        <v>20</v>
      </c>
      <c r="T124" s="2">
        <v>9443</v>
      </c>
      <c r="U124" s="3">
        <v>162</v>
      </c>
    </row>
    <row r="125" spans="3:21" x14ac:dyDescent="0.3">
      <c r="C125" t="s">
        <v>40</v>
      </c>
      <c r="D125" t="s">
        <v>34</v>
      </c>
      <c r="E125" t="s">
        <v>19</v>
      </c>
      <c r="F125" s="2">
        <v>4018</v>
      </c>
      <c r="G125" s="3">
        <v>162</v>
      </c>
      <c r="J125" t="s">
        <v>5</v>
      </c>
      <c r="K125" t="s">
        <v>35</v>
      </c>
      <c r="L125" t="s">
        <v>29</v>
      </c>
      <c r="M125" s="2">
        <v>4480</v>
      </c>
      <c r="N125" s="3">
        <v>357</v>
      </c>
      <c r="Q125" t="s">
        <v>40</v>
      </c>
      <c r="R125" t="s">
        <v>34</v>
      </c>
      <c r="S125" t="s">
        <v>19</v>
      </c>
      <c r="T125" s="2">
        <v>4018</v>
      </c>
      <c r="U125" s="3">
        <v>162</v>
      </c>
    </row>
    <row r="126" spans="3:21" x14ac:dyDescent="0.3">
      <c r="C126" t="s">
        <v>3</v>
      </c>
      <c r="D126" t="s">
        <v>36</v>
      </c>
      <c r="E126" t="s">
        <v>28</v>
      </c>
      <c r="F126" s="2">
        <v>973</v>
      </c>
      <c r="G126" s="3">
        <v>162</v>
      </c>
      <c r="J126" t="s">
        <v>7</v>
      </c>
      <c r="K126" t="s">
        <v>39</v>
      </c>
      <c r="L126" t="s">
        <v>17</v>
      </c>
      <c r="M126" s="2">
        <v>4438</v>
      </c>
      <c r="N126" s="3">
        <v>246</v>
      </c>
      <c r="Q126" t="s">
        <v>3</v>
      </c>
      <c r="R126" t="s">
        <v>36</v>
      </c>
      <c r="S126" t="s">
        <v>28</v>
      </c>
      <c r="T126" s="2">
        <v>973</v>
      </c>
      <c r="U126" s="3">
        <v>162</v>
      </c>
    </row>
    <row r="127" spans="3:21" x14ac:dyDescent="0.3">
      <c r="C127" t="s">
        <v>40</v>
      </c>
      <c r="D127" t="s">
        <v>34</v>
      </c>
      <c r="E127" t="s">
        <v>33</v>
      </c>
      <c r="F127" s="2">
        <v>3794</v>
      </c>
      <c r="G127" s="3">
        <v>159</v>
      </c>
      <c r="J127" t="s">
        <v>40</v>
      </c>
      <c r="K127" t="s">
        <v>36</v>
      </c>
      <c r="L127" t="s">
        <v>13</v>
      </c>
      <c r="M127" s="2">
        <v>4424</v>
      </c>
      <c r="N127" s="3">
        <v>201</v>
      </c>
      <c r="Q127" t="s">
        <v>9</v>
      </c>
      <c r="R127" t="s">
        <v>35</v>
      </c>
      <c r="S127" t="s">
        <v>26</v>
      </c>
      <c r="T127" s="2">
        <v>98</v>
      </c>
      <c r="U127" s="3">
        <v>159</v>
      </c>
    </row>
    <row r="128" spans="3:21" x14ac:dyDescent="0.3">
      <c r="C128" t="s">
        <v>9</v>
      </c>
      <c r="D128" t="s">
        <v>35</v>
      </c>
      <c r="E128" t="s">
        <v>26</v>
      </c>
      <c r="F128" s="2">
        <v>98</v>
      </c>
      <c r="G128" s="3">
        <v>159</v>
      </c>
      <c r="J128" t="s">
        <v>2</v>
      </c>
      <c r="K128" t="s">
        <v>38</v>
      </c>
      <c r="L128" t="s">
        <v>23</v>
      </c>
      <c r="M128" s="2">
        <v>4417</v>
      </c>
      <c r="N128" s="3">
        <v>153</v>
      </c>
      <c r="Q128" t="s">
        <v>40</v>
      </c>
      <c r="R128" t="s">
        <v>34</v>
      </c>
      <c r="S128" t="s">
        <v>33</v>
      </c>
      <c r="T128" s="2">
        <v>3794</v>
      </c>
      <c r="U128" s="3">
        <v>159</v>
      </c>
    </row>
    <row r="129" spans="3:21" x14ac:dyDescent="0.3">
      <c r="C129" t="s">
        <v>40</v>
      </c>
      <c r="D129" t="s">
        <v>34</v>
      </c>
      <c r="E129" t="s">
        <v>17</v>
      </c>
      <c r="F129" s="2">
        <v>5019</v>
      </c>
      <c r="G129" s="3">
        <v>156</v>
      </c>
      <c r="J129" t="s">
        <v>2</v>
      </c>
      <c r="K129" t="s">
        <v>38</v>
      </c>
      <c r="L129" t="s">
        <v>31</v>
      </c>
      <c r="M129" s="2">
        <v>4326</v>
      </c>
      <c r="N129" s="3">
        <v>348</v>
      </c>
      <c r="Q129" t="s">
        <v>40</v>
      </c>
      <c r="R129" t="s">
        <v>34</v>
      </c>
      <c r="S129" t="s">
        <v>17</v>
      </c>
      <c r="T129" s="2">
        <v>5019</v>
      </c>
      <c r="U129" s="3">
        <v>156</v>
      </c>
    </row>
    <row r="130" spans="3:21" x14ac:dyDescent="0.3">
      <c r="C130" t="s">
        <v>6</v>
      </c>
      <c r="D130" t="s">
        <v>36</v>
      </c>
      <c r="E130" t="s">
        <v>17</v>
      </c>
      <c r="F130" s="2">
        <v>4970</v>
      </c>
      <c r="G130" s="3">
        <v>156</v>
      </c>
      <c r="J130" t="s">
        <v>6</v>
      </c>
      <c r="K130" t="s">
        <v>36</v>
      </c>
      <c r="L130" t="s">
        <v>13</v>
      </c>
      <c r="M130" s="2">
        <v>4319</v>
      </c>
      <c r="N130" s="3">
        <v>30</v>
      </c>
      <c r="Q130" t="s">
        <v>6</v>
      </c>
      <c r="R130" t="s">
        <v>36</v>
      </c>
      <c r="S130" t="s">
        <v>17</v>
      </c>
      <c r="T130" s="2">
        <v>4970</v>
      </c>
      <c r="U130" s="3">
        <v>156</v>
      </c>
    </row>
    <row r="131" spans="3:21" x14ac:dyDescent="0.3">
      <c r="C131" t="s">
        <v>9</v>
      </c>
      <c r="D131" t="s">
        <v>37</v>
      </c>
      <c r="E131" t="s">
        <v>25</v>
      </c>
      <c r="F131" s="2">
        <v>4305</v>
      </c>
      <c r="G131" s="3">
        <v>156</v>
      </c>
      <c r="J131" t="s">
        <v>9</v>
      </c>
      <c r="K131" t="s">
        <v>37</v>
      </c>
      <c r="L131" t="s">
        <v>25</v>
      </c>
      <c r="M131" s="2">
        <v>4305</v>
      </c>
      <c r="N131" s="3">
        <v>156</v>
      </c>
      <c r="Q131" t="s">
        <v>9</v>
      </c>
      <c r="R131" t="s">
        <v>37</v>
      </c>
      <c r="S131" t="s">
        <v>25</v>
      </c>
      <c r="T131" s="2">
        <v>4305</v>
      </c>
      <c r="U131" s="3">
        <v>156</v>
      </c>
    </row>
    <row r="132" spans="3:21" x14ac:dyDescent="0.3">
      <c r="C132" t="s">
        <v>2</v>
      </c>
      <c r="D132" t="s">
        <v>38</v>
      </c>
      <c r="E132" t="s">
        <v>23</v>
      </c>
      <c r="F132" s="2">
        <v>4417</v>
      </c>
      <c r="G132" s="3">
        <v>153</v>
      </c>
      <c r="J132" t="s">
        <v>6</v>
      </c>
      <c r="K132" t="s">
        <v>34</v>
      </c>
      <c r="L132" t="s">
        <v>27</v>
      </c>
      <c r="M132" s="2">
        <v>4242</v>
      </c>
      <c r="N132" s="3">
        <v>207</v>
      </c>
      <c r="Q132" t="s">
        <v>2</v>
      </c>
      <c r="R132" t="s">
        <v>38</v>
      </c>
      <c r="S132" t="s">
        <v>23</v>
      </c>
      <c r="T132" s="2">
        <v>4417</v>
      </c>
      <c r="U132" s="3">
        <v>153</v>
      </c>
    </row>
    <row r="133" spans="3:21" x14ac:dyDescent="0.3">
      <c r="C133" t="s">
        <v>9</v>
      </c>
      <c r="D133" t="s">
        <v>34</v>
      </c>
      <c r="E133" t="s">
        <v>28</v>
      </c>
      <c r="F133" s="2">
        <v>14329</v>
      </c>
      <c r="G133" s="3">
        <v>150</v>
      </c>
      <c r="J133" t="s">
        <v>9</v>
      </c>
      <c r="K133" t="s">
        <v>38</v>
      </c>
      <c r="L133" t="s">
        <v>24</v>
      </c>
      <c r="M133" s="2">
        <v>4137</v>
      </c>
      <c r="N133" s="3">
        <v>60</v>
      </c>
      <c r="Q133" t="s">
        <v>9</v>
      </c>
      <c r="R133" t="s">
        <v>34</v>
      </c>
      <c r="S133" t="s">
        <v>28</v>
      </c>
      <c r="T133" s="2">
        <v>14329</v>
      </c>
      <c r="U133" s="3">
        <v>150</v>
      </c>
    </row>
    <row r="134" spans="3:21" x14ac:dyDescent="0.3">
      <c r="C134" t="s">
        <v>8</v>
      </c>
      <c r="D134" t="s">
        <v>36</v>
      </c>
      <c r="E134" t="s">
        <v>23</v>
      </c>
      <c r="F134" s="2">
        <v>5019</v>
      </c>
      <c r="G134" s="3">
        <v>150</v>
      </c>
      <c r="J134" t="s">
        <v>10</v>
      </c>
      <c r="K134" t="s">
        <v>34</v>
      </c>
      <c r="L134" t="s">
        <v>22</v>
      </c>
      <c r="M134" s="2">
        <v>4053</v>
      </c>
      <c r="N134" s="3">
        <v>24</v>
      </c>
      <c r="Q134" t="s">
        <v>8</v>
      </c>
      <c r="R134" t="s">
        <v>37</v>
      </c>
      <c r="S134" t="s">
        <v>30</v>
      </c>
      <c r="T134" s="2">
        <v>42</v>
      </c>
      <c r="U134" s="3">
        <v>150</v>
      </c>
    </row>
    <row r="135" spans="3:21" x14ac:dyDescent="0.3">
      <c r="C135" t="s">
        <v>6</v>
      </c>
      <c r="D135" t="s">
        <v>34</v>
      </c>
      <c r="E135" t="s">
        <v>17</v>
      </c>
      <c r="F135" s="2">
        <v>3759</v>
      </c>
      <c r="G135" s="3">
        <v>150</v>
      </c>
      <c r="J135" t="s">
        <v>2</v>
      </c>
      <c r="K135" t="s">
        <v>39</v>
      </c>
      <c r="L135" t="s">
        <v>33</v>
      </c>
      <c r="M135" s="2">
        <v>4018</v>
      </c>
      <c r="N135" s="3">
        <v>126</v>
      </c>
      <c r="Q135" t="s">
        <v>6</v>
      </c>
      <c r="R135" t="s">
        <v>34</v>
      </c>
      <c r="S135" t="s">
        <v>17</v>
      </c>
      <c r="T135" s="2">
        <v>3759</v>
      </c>
      <c r="U135" s="3">
        <v>150</v>
      </c>
    </row>
    <row r="136" spans="3:21" x14ac:dyDescent="0.3">
      <c r="C136" t="s">
        <v>8</v>
      </c>
      <c r="D136" t="s">
        <v>37</v>
      </c>
      <c r="E136" t="s">
        <v>30</v>
      </c>
      <c r="F136" s="2">
        <v>42</v>
      </c>
      <c r="G136" s="3">
        <v>150</v>
      </c>
      <c r="J136" t="s">
        <v>40</v>
      </c>
      <c r="K136" t="s">
        <v>34</v>
      </c>
      <c r="L136" t="s">
        <v>19</v>
      </c>
      <c r="M136" s="2">
        <v>4018</v>
      </c>
      <c r="N136" s="3">
        <v>162</v>
      </c>
      <c r="Q136" t="s">
        <v>8</v>
      </c>
      <c r="R136" t="s">
        <v>36</v>
      </c>
      <c r="S136" t="s">
        <v>23</v>
      </c>
      <c r="T136" s="2">
        <v>5019</v>
      </c>
      <c r="U136" s="3">
        <v>150</v>
      </c>
    </row>
    <row r="137" spans="3:21" x14ac:dyDescent="0.3">
      <c r="C137" t="s">
        <v>9</v>
      </c>
      <c r="D137" t="s">
        <v>35</v>
      </c>
      <c r="E137" t="s">
        <v>4</v>
      </c>
      <c r="F137" s="2">
        <v>959</v>
      </c>
      <c r="G137" s="3">
        <v>147</v>
      </c>
      <c r="J137" t="s">
        <v>5</v>
      </c>
      <c r="K137" t="s">
        <v>39</v>
      </c>
      <c r="L137" t="s">
        <v>24</v>
      </c>
      <c r="M137" s="2">
        <v>4018</v>
      </c>
      <c r="N137" s="3">
        <v>171</v>
      </c>
      <c r="Q137" t="s">
        <v>9</v>
      </c>
      <c r="R137" t="s">
        <v>35</v>
      </c>
      <c r="S137" t="s">
        <v>4</v>
      </c>
      <c r="T137" s="2">
        <v>959</v>
      </c>
      <c r="U137" s="3">
        <v>147</v>
      </c>
    </row>
    <row r="138" spans="3:21" x14ac:dyDescent="0.3">
      <c r="C138" t="s">
        <v>2</v>
      </c>
      <c r="D138" t="s">
        <v>39</v>
      </c>
      <c r="E138" t="s">
        <v>28</v>
      </c>
      <c r="F138" s="2">
        <v>6027</v>
      </c>
      <c r="G138" s="3">
        <v>144</v>
      </c>
      <c r="J138" t="s">
        <v>3</v>
      </c>
      <c r="K138" t="s">
        <v>37</v>
      </c>
      <c r="L138" t="s">
        <v>17</v>
      </c>
      <c r="M138" s="2">
        <v>3983</v>
      </c>
      <c r="N138" s="3">
        <v>144</v>
      </c>
      <c r="Q138" t="s">
        <v>3</v>
      </c>
      <c r="R138" t="s">
        <v>37</v>
      </c>
      <c r="S138" t="s">
        <v>17</v>
      </c>
      <c r="T138" s="2">
        <v>3983</v>
      </c>
      <c r="U138" s="3">
        <v>144</v>
      </c>
    </row>
    <row r="139" spans="3:21" x14ac:dyDescent="0.3">
      <c r="C139" t="s">
        <v>3</v>
      </c>
      <c r="D139" t="s">
        <v>37</v>
      </c>
      <c r="E139" t="s">
        <v>17</v>
      </c>
      <c r="F139" s="2">
        <v>3983</v>
      </c>
      <c r="G139" s="3">
        <v>144</v>
      </c>
      <c r="J139" t="s">
        <v>41</v>
      </c>
      <c r="K139" t="s">
        <v>39</v>
      </c>
      <c r="L139" t="s">
        <v>14</v>
      </c>
      <c r="M139" s="2">
        <v>3976</v>
      </c>
      <c r="N139" s="3">
        <v>72</v>
      </c>
      <c r="Q139" t="s">
        <v>41</v>
      </c>
      <c r="R139" t="s">
        <v>34</v>
      </c>
      <c r="S139" t="s">
        <v>22</v>
      </c>
      <c r="T139" s="2">
        <v>336</v>
      </c>
      <c r="U139" s="3">
        <v>144</v>
      </c>
    </row>
    <row r="140" spans="3:21" x14ac:dyDescent="0.3">
      <c r="C140" t="s">
        <v>9</v>
      </c>
      <c r="D140" t="s">
        <v>35</v>
      </c>
      <c r="E140" t="s">
        <v>27</v>
      </c>
      <c r="F140" s="2">
        <v>2429</v>
      </c>
      <c r="G140" s="3">
        <v>144</v>
      </c>
      <c r="J140" t="s">
        <v>9</v>
      </c>
      <c r="K140" t="s">
        <v>39</v>
      </c>
      <c r="L140" t="s">
        <v>24</v>
      </c>
      <c r="M140" s="2">
        <v>3920</v>
      </c>
      <c r="N140" s="3">
        <v>306</v>
      </c>
      <c r="Q140" t="s">
        <v>2</v>
      </c>
      <c r="R140" t="s">
        <v>39</v>
      </c>
      <c r="S140" t="s">
        <v>28</v>
      </c>
      <c r="T140" s="2">
        <v>6027</v>
      </c>
      <c r="U140" s="3">
        <v>144</v>
      </c>
    </row>
    <row r="141" spans="3:21" x14ac:dyDescent="0.3">
      <c r="C141" t="s">
        <v>41</v>
      </c>
      <c r="D141" t="s">
        <v>34</v>
      </c>
      <c r="E141" t="s">
        <v>22</v>
      </c>
      <c r="F141" s="2">
        <v>336</v>
      </c>
      <c r="G141" s="3">
        <v>144</v>
      </c>
      <c r="J141" t="s">
        <v>6</v>
      </c>
      <c r="K141" t="s">
        <v>35</v>
      </c>
      <c r="L141" t="s">
        <v>27</v>
      </c>
      <c r="M141" s="2">
        <v>3864</v>
      </c>
      <c r="N141" s="3">
        <v>177</v>
      </c>
      <c r="Q141" t="s">
        <v>9</v>
      </c>
      <c r="R141" t="s">
        <v>35</v>
      </c>
      <c r="S141" t="s">
        <v>27</v>
      </c>
      <c r="T141" s="2">
        <v>2429</v>
      </c>
      <c r="U141" s="3">
        <v>144</v>
      </c>
    </row>
    <row r="142" spans="3:21" x14ac:dyDescent="0.3">
      <c r="C142" t="s">
        <v>10</v>
      </c>
      <c r="D142" t="s">
        <v>38</v>
      </c>
      <c r="E142" t="s">
        <v>22</v>
      </c>
      <c r="F142" s="2">
        <v>2205</v>
      </c>
      <c r="G142" s="3">
        <v>141</v>
      </c>
      <c r="J142" t="s">
        <v>9</v>
      </c>
      <c r="K142" t="s">
        <v>38</v>
      </c>
      <c r="L142" t="s">
        <v>25</v>
      </c>
      <c r="M142" s="2">
        <v>3850</v>
      </c>
      <c r="N142" s="3">
        <v>102</v>
      </c>
      <c r="Q142" t="s">
        <v>10</v>
      </c>
      <c r="R142" t="s">
        <v>38</v>
      </c>
      <c r="S142" t="s">
        <v>22</v>
      </c>
      <c r="T142" s="2">
        <v>2205</v>
      </c>
      <c r="U142" s="3">
        <v>141</v>
      </c>
    </row>
    <row r="143" spans="3:21" x14ac:dyDescent="0.3">
      <c r="C143" t="s">
        <v>2</v>
      </c>
      <c r="D143" t="s">
        <v>39</v>
      </c>
      <c r="E143" t="s">
        <v>22</v>
      </c>
      <c r="F143" s="2">
        <v>1568</v>
      </c>
      <c r="G143" s="3">
        <v>141</v>
      </c>
      <c r="J143" t="s">
        <v>7</v>
      </c>
      <c r="K143" t="s">
        <v>34</v>
      </c>
      <c r="L143" t="s">
        <v>15</v>
      </c>
      <c r="M143" s="2">
        <v>3829</v>
      </c>
      <c r="N143" s="3">
        <v>24</v>
      </c>
      <c r="Q143" t="s">
        <v>2</v>
      </c>
      <c r="R143" t="s">
        <v>39</v>
      </c>
      <c r="S143" t="s">
        <v>22</v>
      </c>
      <c r="T143" s="2">
        <v>1568</v>
      </c>
      <c r="U143" s="3">
        <v>141</v>
      </c>
    </row>
    <row r="144" spans="3:21" x14ac:dyDescent="0.3">
      <c r="C144" t="s">
        <v>2</v>
      </c>
      <c r="D144" t="s">
        <v>37</v>
      </c>
      <c r="E144" t="s">
        <v>18</v>
      </c>
      <c r="F144" s="2">
        <v>11571</v>
      </c>
      <c r="G144" s="3">
        <v>138</v>
      </c>
      <c r="J144" t="s">
        <v>10</v>
      </c>
      <c r="K144" t="s">
        <v>35</v>
      </c>
      <c r="L144" t="s">
        <v>18</v>
      </c>
      <c r="M144" s="2">
        <v>3808</v>
      </c>
      <c r="N144" s="3">
        <v>279</v>
      </c>
      <c r="Q144" t="s">
        <v>7</v>
      </c>
      <c r="R144" t="s">
        <v>34</v>
      </c>
      <c r="S144" t="s">
        <v>20</v>
      </c>
      <c r="T144" s="2">
        <v>2205</v>
      </c>
      <c r="U144" s="3">
        <v>138</v>
      </c>
    </row>
    <row r="145" spans="3:21" x14ac:dyDescent="0.3">
      <c r="C145" t="s">
        <v>7</v>
      </c>
      <c r="D145" t="s">
        <v>34</v>
      </c>
      <c r="E145" t="s">
        <v>20</v>
      </c>
      <c r="F145" s="2">
        <v>2205</v>
      </c>
      <c r="G145" s="3">
        <v>138</v>
      </c>
      <c r="J145" t="s">
        <v>40</v>
      </c>
      <c r="K145" t="s">
        <v>34</v>
      </c>
      <c r="L145" t="s">
        <v>33</v>
      </c>
      <c r="M145" s="2">
        <v>3794</v>
      </c>
      <c r="N145" s="3">
        <v>159</v>
      </c>
      <c r="Q145" t="s">
        <v>2</v>
      </c>
      <c r="R145" t="s">
        <v>37</v>
      </c>
      <c r="S145" t="s">
        <v>18</v>
      </c>
      <c r="T145" s="2">
        <v>11571</v>
      </c>
      <c r="U145" s="3">
        <v>138</v>
      </c>
    </row>
    <row r="146" spans="3:21" x14ac:dyDescent="0.3">
      <c r="C146" t="s">
        <v>40</v>
      </c>
      <c r="D146" t="s">
        <v>34</v>
      </c>
      <c r="E146" t="s">
        <v>27</v>
      </c>
      <c r="F146" s="2">
        <v>2289</v>
      </c>
      <c r="G146" s="3">
        <v>135</v>
      </c>
      <c r="J146" t="s">
        <v>3</v>
      </c>
      <c r="K146" t="s">
        <v>36</v>
      </c>
      <c r="L146" t="s">
        <v>23</v>
      </c>
      <c r="M146" s="2">
        <v>3773</v>
      </c>
      <c r="N146" s="3">
        <v>165</v>
      </c>
      <c r="Q146" t="s">
        <v>40</v>
      </c>
      <c r="R146" t="s">
        <v>34</v>
      </c>
      <c r="S146" t="s">
        <v>27</v>
      </c>
      <c r="T146" s="2">
        <v>2289</v>
      </c>
      <c r="U146" s="3">
        <v>135</v>
      </c>
    </row>
    <row r="147" spans="3:21" x14ac:dyDescent="0.3">
      <c r="C147" t="s">
        <v>6</v>
      </c>
      <c r="D147" t="s">
        <v>36</v>
      </c>
      <c r="E147" t="s">
        <v>29</v>
      </c>
      <c r="F147" s="2">
        <v>1400</v>
      </c>
      <c r="G147" s="3">
        <v>135</v>
      </c>
      <c r="J147" t="s">
        <v>6</v>
      </c>
      <c r="K147" t="s">
        <v>34</v>
      </c>
      <c r="L147" t="s">
        <v>17</v>
      </c>
      <c r="M147" s="2">
        <v>3759</v>
      </c>
      <c r="N147" s="3">
        <v>150</v>
      </c>
      <c r="Q147" t="s">
        <v>6</v>
      </c>
      <c r="R147" t="s">
        <v>38</v>
      </c>
      <c r="S147" t="s">
        <v>33</v>
      </c>
      <c r="T147" s="2">
        <v>959</v>
      </c>
      <c r="U147" s="3">
        <v>135</v>
      </c>
    </row>
    <row r="148" spans="3:21" x14ac:dyDescent="0.3">
      <c r="C148" t="s">
        <v>6</v>
      </c>
      <c r="D148" t="s">
        <v>38</v>
      </c>
      <c r="E148" t="s">
        <v>33</v>
      </c>
      <c r="F148" s="2">
        <v>959</v>
      </c>
      <c r="G148" s="3">
        <v>135</v>
      </c>
      <c r="J148" t="s">
        <v>8</v>
      </c>
      <c r="K148" t="s">
        <v>38</v>
      </c>
      <c r="L148" t="s">
        <v>32</v>
      </c>
      <c r="M148" s="2">
        <v>3752</v>
      </c>
      <c r="N148" s="3">
        <v>213</v>
      </c>
      <c r="Q148" t="s">
        <v>40</v>
      </c>
      <c r="R148" t="s">
        <v>39</v>
      </c>
      <c r="S148" t="s">
        <v>29</v>
      </c>
      <c r="T148" s="2">
        <v>0</v>
      </c>
      <c r="U148" s="3">
        <v>135</v>
      </c>
    </row>
    <row r="149" spans="3:21" x14ac:dyDescent="0.3">
      <c r="C149" t="s">
        <v>40</v>
      </c>
      <c r="D149" t="s">
        <v>39</v>
      </c>
      <c r="E149" t="s">
        <v>29</v>
      </c>
      <c r="F149" s="2">
        <v>0</v>
      </c>
      <c r="G149" s="3">
        <v>135</v>
      </c>
      <c r="J149" t="s">
        <v>3</v>
      </c>
      <c r="K149" t="s">
        <v>34</v>
      </c>
      <c r="L149" t="s">
        <v>28</v>
      </c>
      <c r="M149" s="2">
        <v>3689</v>
      </c>
      <c r="N149" s="3">
        <v>312</v>
      </c>
      <c r="Q149" t="s">
        <v>6</v>
      </c>
      <c r="R149" t="s">
        <v>36</v>
      </c>
      <c r="S149" t="s">
        <v>29</v>
      </c>
      <c r="T149" s="2">
        <v>1400</v>
      </c>
      <c r="U149" s="3">
        <v>135</v>
      </c>
    </row>
    <row r="150" spans="3:21" x14ac:dyDescent="0.3">
      <c r="C150" t="s">
        <v>41</v>
      </c>
      <c r="D150" t="s">
        <v>35</v>
      </c>
      <c r="E150" t="s">
        <v>27</v>
      </c>
      <c r="F150" s="2">
        <v>847</v>
      </c>
      <c r="G150" s="3">
        <v>129</v>
      </c>
      <c r="J150" t="s">
        <v>3</v>
      </c>
      <c r="K150" t="s">
        <v>39</v>
      </c>
      <c r="L150" t="s">
        <v>29</v>
      </c>
      <c r="M150" s="2">
        <v>3640</v>
      </c>
      <c r="N150" s="3">
        <v>51</v>
      </c>
      <c r="Q150" t="s">
        <v>41</v>
      </c>
      <c r="R150" t="s">
        <v>35</v>
      </c>
      <c r="S150" t="s">
        <v>27</v>
      </c>
      <c r="T150" s="2">
        <v>847</v>
      </c>
      <c r="U150" s="3">
        <v>129</v>
      </c>
    </row>
    <row r="151" spans="3:21" x14ac:dyDescent="0.3">
      <c r="C151" t="s">
        <v>10</v>
      </c>
      <c r="D151" t="s">
        <v>38</v>
      </c>
      <c r="E151" t="s">
        <v>4</v>
      </c>
      <c r="F151" s="2">
        <v>6860</v>
      </c>
      <c r="G151" s="3">
        <v>126</v>
      </c>
      <c r="J151" t="s">
        <v>8</v>
      </c>
      <c r="K151" t="s">
        <v>35</v>
      </c>
      <c r="L151" t="s">
        <v>30</v>
      </c>
      <c r="M151" s="2">
        <v>3598</v>
      </c>
      <c r="N151" s="3">
        <v>81</v>
      </c>
      <c r="Q151" t="s">
        <v>8</v>
      </c>
      <c r="R151" t="s">
        <v>35</v>
      </c>
      <c r="S151" t="s">
        <v>33</v>
      </c>
      <c r="T151" s="2">
        <v>357</v>
      </c>
      <c r="U151" s="3">
        <v>126</v>
      </c>
    </row>
    <row r="152" spans="3:21" x14ac:dyDescent="0.3">
      <c r="C152" t="s">
        <v>41</v>
      </c>
      <c r="D152" t="s">
        <v>34</v>
      </c>
      <c r="E152" t="s">
        <v>23</v>
      </c>
      <c r="F152" s="2">
        <v>4935</v>
      </c>
      <c r="G152" s="3">
        <v>126</v>
      </c>
      <c r="J152" t="s">
        <v>6</v>
      </c>
      <c r="K152" t="s">
        <v>37</v>
      </c>
      <c r="L152" t="s">
        <v>28</v>
      </c>
      <c r="M152" s="2">
        <v>3556</v>
      </c>
      <c r="N152" s="3">
        <v>459</v>
      </c>
      <c r="Q152" t="s">
        <v>40</v>
      </c>
      <c r="R152" t="s">
        <v>35</v>
      </c>
      <c r="S152" t="s">
        <v>29</v>
      </c>
      <c r="T152" s="2">
        <v>1617</v>
      </c>
      <c r="U152" s="3">
        <v>126</v>
      </c>
    </row>
    <row r="153" spans="3:21" x14ac:dyDescent="0.3">
      <c r="C153" t="s">
        <v>2</v>
      </c>
      <c r="D153" t="s">
        <v>39</v>
      </c>
      <c r="E153" t="s">
        <v>33</v>
      </c>
      <c r="F153" s="2">
        <v>4018</v>
      </c>
      <c r="G153" s="3">
        <v>126</v>
      </c>
      <c r="J153" t="s">
        <v>2</v>
      </c>
      <c r="K153" t="s">
        <v>38</v>
      </c>
      <c r="L153" t="s">
        <v>4</v>
      </c>
      <c r="M153" s="2">
        <v>3549</v>
      </c>
      <c r="N153" s="3">
        <v>3</v>
      </c>
      <c r="Q153" t="s">
        <v>41</v>
      </c>
      <c r="R153" t="s">
        <v>34</v>
      </c>
      <c r="S153" t="s">
        <v>23</v>
      </c>
      <c r="T153" s="2">
        <v>4935</v>
      </c>
      <c r="U153" s="3">
        <v>126</v>
      </c>
    </row>
    <row r="154" spans="3:21" x14ac:dyDescent="0.3">
      <c r="C154" t="s">
        <v>40</v>
      </c>
      <c r="D154" t="s">
        <v>35</v>
      </c>
      <c r="E154" t="s">
        <v>29</v>
      </c>
      <c r="F154" s="2">
        <v>1617</v>
      </c>
      <c r="G154" s="3">
        <v>126</v>
      </c>
      <c r="J154" t="s">
        <v>8</v>
      </c>
      <c r="K154" t="s">
        <v>34</v>
      </c>
      <c r="L154" t="s">
        <v>31</v>
      </c>
      <c r="M154" s="2">
        <v>3507</v>
      </c>
      <c r="N154" s="3">
        <v>288</v>
      </c>
      <c r="Q154" t="s">
        <v>10</v>
      </c>
      <c r="R154" t="s">
        <v>38</v>
      </c>
      <c r="S154" t="s">
        <v>4</v>
      </c>
      <c r="T154" s="2">
        <v>6860</v>
      </c>
      <c r="U154" s="3">
        <v>126</v>
      </c>
    </row>
    <row r="155" spans="3:21" x14ac:dyDescent="0.3">
      <c r="C155" t="s">
        <v>8</v>
      </c>
      <c r="D155" t="s">
        <v>35</v>
      </c>
      <c r="E155" t="s">
        <v>33</v>
      </c>
      <c r="F155" s="2">
        <v>357</v>
      </c>
      <c r="G155" s="3">
        <v>126</v>
      </c>
      <c r="J155" t="s">
        <v>10</v>
      </c>
      <c r="K155" t="s">
        <v>35</v>
      </c>
      <c r="L155" t="s">
        <v>14</v>
      </c>
      <c r="M155" s="2">
        <v>3472</v>
      </c>
      <c r="N155" s="3">
        <v>96</v>
      </c>
      <c r="Q155" t="s">
        <v>2</v>
      </c>
      <c r="R155" t="s">
        <v>39</v>
      </c>
      <c r="S155" t="s">
        <v>33</v>
      </c>
      <c r="T155" s="2">
        <v>4018</v>
      </c>
      <c r="U155" s="3">
        <v>126</v>
      </c>
    </row>
    <row r="156" spans="3:21" x14ac:dyDescent="0.3">
      <c r="C156" t="s">
        <v>6</v>
      </c>
      <c r="D156" t="s">
        <v>34</v>
      </c>
      <c r="E156" t="s">
        <v>32</v>
      </c>
      <c r="F156" s="2">
        <v>6734</v>
      </c>
      <c r="G156" s="3">
        <v>123</v>
      </c>
      <c r="J156" t="s">
        <v>6</v>
      </c>
      <c r="K156" t="s">
        <v>34</v>
      </c>
      <c r="L156" t="s">
        <v>30</v>
      </c>
      <c r="M156" s="2">
        <v>3402</v>
      </c>
      <c r="N156" s="3">
        <v>366</v>
      </c>
      <c r="Q156" t="s">
        <v>10</v>
      </c>
      <c r="R156" t="s">
        <v>38</v>
      </c>
      <c r="S156" t="s">
        <v>13</v>
      </c>
      <c r="T156" s="2">
        <v>63</v>
      </c>
      <c r="U156" s="3">
        <v>123</v>
      </c>
    </row>
    <row r="157" spans="3:21" x14ac:dyDescent="0.3">
      <c r="C157" t="s">
        <v>6</v>
      </c>
      <c r="D157" t="s">
        <v>35</v>
      </c>
      <c r="E157" t="s">
        <v>30</v>
      </c>
      <c r="F157" s="2">
        <v>4781</v>
      </c>
      <c r="G157" s="3">
        <v>123</v>
      </c>
      <c r="J157" t="s">
        <v>41</v>
      </c>
      <c r="K157" t="s">
        <v>37</v>
      </c>
      <c r="L157" t="s">
        <v>20</v>
      </c>
      <c r="M157" s="2">
        <v>3388</v>
      </c>
      <c r="N157" s="3">
        <v>123</v>
      </c>
      <c r="Q157" t="s">
        <v>41</v>
      </c>
      <c r="R157" t="s">
        <v>37</v>
      </c>
      <c r="S157" t="s">
        <v>20</v>
      </c>
      <c r="T157" s="2">
        <v>3388</v>
      </c>
      <c r="U157" s="3">
        <v>123</v>
      </c>
    </row>
    <row r="158" spans="3:21" x14ac:dyDescent="0.3">
      <c r="C158" t="s">
        <v>41</v>
      </c>
      <c r="D158" t="s">
        <v>37</v>
      </c>
      <c r="E158" t="s">
        <v>20</v>
      </c>
      <c r="F158" s="2">
        <v>3388</v>
      </c>
      <c r="G158" s="3">
        <v>123</v>
      </c>
      <c r="J158" t="s">
        <v>3</v>
      </c>
      <c r="K158" t="s">
        <v>36</v>
      </c>
      <c r="L158" t="s">
        <v>25</v>
      </c>
      <c r="M158" s="2">
        <v>3339</v>
      </c>
      <c r="N158" s="3">
        <v>39</v>
      </c>
      <c r="Q158" t="s">
        <v>6</v>
      </c>
      <c r="R158" t="s">
        <v>38</v>
      </c>
      <c r="S158" t="s">
        <v>13</v>
      </c>
      <c r="T158" s="2">
        <v>2317</v>
      </c>
      <c r="U158" s="3">
        <v>123</v>
      </c>
    </row>
    <row r="159" spans="3:21" x14ac:dyDescent="0.3">
      <c r="C159" t="s">
        <v>6</v>
      </c>
      <c r="D159" t="s">
        <v>38</v>
      </c>
      <c r="E159" t="s">
        <v>13</v>
      </c>
      <c r="F159" s="2">
        <v>2317</v>
      </c>
      <c r="G159" s="3">
        <v>123</v>
      </c>
      <c r="J159" t="s">
        <v>6</v>
      </c>
      <c r="K159" t="s">
        <v>34</v>
      </c>
      <c r="L159" t="s">
        <v>29</v>
      </c>
      <c r="M159" s="2">
        <v>3339</v>
      </c>
      <c r="N159" s="3">
        <v>75</v>
      </c>
      <c r="Q159" t="s">
        <v>6</v>
      </c>
      <c r="R159" t="s">
        <v>34</v>
      </c>
      <c r="S159" t="s">
        <v>32</v>
      </c>
      <c r="T159" s="2">
        <v>6734</v>
      </c>
      <c r="U159" s="3">
        <v>123</v>
      </c>
    </row>
    <row r="160" spans="3:21" x14ac:dyDescent="0.3">
      <c r="C160" t="s">
        <v>10</v>
      </c>
      <c r="D160" t="s">
        <v>38</v>
      </c>
      <c r="E160" t="s">
        <v>13</v>
      </c>
      <c r="F160" s="2">
        <v>63</v>
      </c>
      <c r="G160" s="3">
        <v>123</v>
      </c>
      <c r="J160" t="s">
        <v>5</v>
      </c>
      <c r="K160" t="s">
        <v>36</v>
      </c>
      <c r="L160" t="s">
        <v>17</v>
      </c>
      <c r="M160" s="2">
        <v>3339</v>
      </c>
      <c r="N160" s="3">
        <v>348</v>
      </c>
      <c r="Q160" t="s">
        <v>6</v>
      </c>
      <c r="R160" t="s">
        <v>35</v>
      </c>
      <c r="S160" t="s">
        <v>30</v>
      </c>
      <c r="T160" s="2">
        <v>4781</v>
      </c>
      <c r="U160" s="3">
        <v>123</v>
      </c>
    </row>
    <row r="161" spans="3:21" x14ac:dyDescent="0.3">
      <c r="C161" t="s">
        <v>6</v>
      </c>
      <c r="D161" t="s">
        <v>36</v>
      </c>
      <c r="E161" t="s">
        <v>4</v>
      </c>
      <c r="F161" s="2">
        <v>10073</v>
      </c>
      <c r="G161" s="3">
        <v>120</v>
      </c>
      <c r="J161" t="s">
        <v>7</v>
      </c>
      <c r="K161" t="s">
        <v>34</v>
      </c>
      <c r="L161" t="s">
        <v>32</v>
      </c>
      <c r="M161" s="2">
        <v>3262</v>
      </c>
      <c r="N161" s="3">
        <v>75</v>
      </c>
      <c r="Q161" t="s">
        <v>9</v>
      </c>
      <c r="R161" t="s">
        <v>38</v>
      </c>
      <c r="S161" t="s">
        <v>16</v>
      </c>
      <c r="T161" s="2">
        <v>2646</v>
      </c>
      <c r="U161" s="3">
        <v>120</v>
      </c>
    </row>
    <row r="162" spans="3:21" x14ac:dyDescent="0.3">
      <c r="C162" t="s">
        <v>2</v>
      </c>
      <c r="D162" t="s">
        <v>34</v>
      </c>
      <c r="E162" t="s">
        <v>19</v>
      </c>
      <c r="F162" s="2">
        <v>7511</v>
      </c>
      <c r="G162" s="3">
        <v>120</v>
      </c>
      <c r="J162" t="s">
        <v>9</v>
      </c>
      <c r="K162" t="s">
        <v>39</v>
      </c>
      <c r="L162" t="s">
        <v>25</v>
      </c>
      <c r="M162" s="2">
        <v>3192</v>
      </c>
      <c r="N162" s="3">
        <v>72</v>
      </c>
      <c r="Q162" t="s">
        <v>6</v>
      </c>
      <c r="R162" t="s">
        <v>36</v>
      </c>
      <c r="S162" t="s">
        <v>4</v>
      </c>
      <c r="T162" s="2">
        <v>10073</v>
      </c>
      <c r="U162" s="3">
        <v>120</v>
      </c>
    </row>
    <row r="163" spans="3:21" x14ac:dyDescent="0.3">
      <c r="C163" t="s">
        <v>9</v>
      </c>
      <c r="D163" t="s">
        <v>38</v>
      </c>
      <c r="E163" t="s">
        <v>16</v>
      </c>
      <c r="F163" s="2">
        <v>2646</v>
      </c>
      <c r="G163" s="3">
        <v>120</v>
      </c>
      <c r="J163" t="s">
        <v>40</v>
      </c>
      <c r="K163" t="s">
        <v>36</v>
      </c>
      <c r="L163" t="s">
        <v>27</v>
      </c>
      <c r="M163" s="2">
        <v>3164</v>
      </c>
      <c r="N163" s="3">
        <v>306</v>
      </c>
      <c r="Q163" t="s">
        <v>2</v>
      </c>
      <c r="R163" t="s">
        <v>34</v>
      </c>
      <c r="S163" t="s">
        <v>19</v>
      </c>
      <c r="T163" s="2">
        <v>7511</v>
      </c>
      <c r="U163" s="3">
        <v>120</v>
      </c>
    </row>
    <row r="164" spans="3:21" x14ac:dyDescent="0.3">
      <c r="C164" t="s">
        <v>3</v>
      </c>
      <c r="D164" t="s">
        <v>34</v>
      </c>
      <c r="E164" t="s">
        <v>23</v>
      </c>
      <c r="F164" s="2">
        <v>2212</v>
      </c>
      <c r="G164" s="3">
        <v>117</v>
      </c>
      <c r="J164" t="s">
        <v>3</v>
      </c>
      <c r="K164" t="s">
        <v>34</v>
      </c>
      <c r="L164" t="s">
        <v>26</v>
      </c>
      <c r="M164" s="2">
        <v>3108</v>
      </c>
      <c r="N164" s="3">
        <v>54</v>
      </c>
      <c r="Q164" t="s">
        <v>2</v>
      </c>
      <c r="R164" t="s">
        <v>39</v>
      </c>
      <c r="S164" t="s">
        <v>16</v>
      </c>
      <c r="T164" s="2">
        <v>2016</v>
      </c>
      <c r="U164" s="3">
        <v>117</v>
      </c>
    </row>
    <row r="165" spans="3:21" x14ac:dyDescent="0.3">
      <c r="C165" t="s">
        <v>7</v>
      </c>
      <c r="D165" t="s">
        <v>36</v>
      </c>
      <c r="E165" t="s">
        <v>31</v>
      </c>
      <c r="F165" s="2">
        <v>2149</v>
      </c>
      <c r="G165" s="3">
        <v>117</v>
      </c>
      <c r="J165" t="s">
        <v>40</v>
      </c>
      <c r="K165" t="s">
        <v>39</v>
      </c>
      <c r="L165" t="s">
        <v>28</v>
      </c>
      <c r="M165" s="2">
        <v>3101</v>
      </c>
      <c r="N165" s="3">
        <v>225</v>
      </c>
      <c r="Q165" t="s">
        <v>3</v>
      </c>
      <c r="R165" t="s">
        <v>34</v>
      </c>
      <c r="S165" t="s">
        <v>23</v>
      </c>
      <c r="T165" s="2">
        <v>2212</v>
      </c>
      <c r="U165" s="3">
        <v>117</v>
      </c>
    </row>
    <row r="166" spans="3:21" x14ac:dyDescent="0.3">
      <c r="C166" t="s">
        <v>2</v>
      </c>
      <c r="D166" t="s">
        <v>39</v>
      </c>
      <c r="E166" t="s">
        <v>16</v>
      </c>
      <c r="F166" s="2">
        <v>2016</v>
      </c>
      <c r="G166" s="3">
        <v>117</v>
      </c>
      <c r="J166" t="s">
        <v>2</v>
      </c>
      <c r="K166" t="s">
        <v>36</v>
      </c>
      <c r="L166" t="s">
        <v>31</v>
      </c>
      <c r="M166" s="2">
        <v>3094</v>
      </c>
      <c r="N166" s="3">
        <v>246</v>
      </c>
      <c r="Q166" t="s">
        <v>7</v>
      </c>
      <c r="R166" t="s">
        <v>36</v>
      </c>
      <c r="S166" t="s">
        <v>31</v>
      </c>
      <c r="T166" s="2">
        <v>2149</v>
      </c>
      <c r="U166" s="3">
        <v>117</v>
      </c>
    </row>
    <row r="167" spans="3:21" x14ac:dyDescent="0.3">
      <c r="C167" t="s">
        <v>7</v>
      </c>
      <c r="D167" t="s">
        <v>35</v>
      </c>
      <c r="E167" t="s">
        <v>24</v>
      </c>
      <c r="F167" s="2">
        <v>2793</v>
      </c>
      <c r="G167" s="3">
        <v>114</v>
      </c>
      <c r="J167" t="s">
        <v>10</v>
      </c>
      <c r="K167" t="s">
        <v>37</v>
      </c>
      <c r="L167" t="s">
        <v>28</v>
      </c>
      <c r="M167" s="2">
        <v>3059</v>
      </c>
      <c r="N167" s="3">
        <v>27</v>
      </c>
      <c r="Q167" t="s">
        <v>40</v>
      </c>
      <c r="R167" t="s">
        <v>37</v>
      </c>
      <c r="S167" t="s">
        <v>30</v>
      </c>
      <c r="T167" s="2">
        <v>1624</v>
      </c>
      <c r="U167" s="3">
        <v>114</v>
      </c>
    </row>
    <row r="168" spans="3:21" x14ac:dyDescent="0.3">
      <c r="C168" t="s">
        <v>9</v>
      </c>
      <c r="D168" t="s">
        <v>36</v>
      </c>
      <c r="E168" t="s">
        <v>25</v>
      </c>
      <c r="F168" s="2">
        <v>2142</v>
      </c>
      <c r="G168" s="3">
        <v>114</v>
      </c>
      <c r="J168" t="s">
        <v>6</v>
      </c>
      <c r="K168" t="s">
        <v>39</v>
      </c>
      <c r="L168" t="s">
        <v>29</v>
      </c>
      <c r="M168" s="2">
        <v>3052</v>
      </c>
      <c r="N168" s="3">
        <v>378</v>
      </c>
      <c r="Q168" t="s">
        <v>7</v>
      </c>
      <c r="R168" t="s">
        <v>35</v>
      </c>
      <c r="S168" t="s">
        <v>24</v>
      </c>
      <c r="T168" s="2">
        <v>2793</v>
      </c>
      <c r="U168" s="3">
        <v>114</v>
      </c>
    </row>
    <row r="169" spans="3:21" x14ac:dyDescent="0.3">
      <c r="C169" t="s">
        <v>40</v>
      </c>
      <c r="D169" t="s">
        <v>37</v>
      </c>
      <c r="E169" t="s">
        <v>30</v>
      </c>
      <c r="F169" s="2">
        <v>1624</v>
      </c>
      <c r="G169" s="3">
        <v>114</v>
      </c>
      <c r="J169" t="s">
        <v>6</v>
      </c>
      <c r="K169" t="s">
        <v>39</v>
      </c>
      <c r="L169" t="s">
        <v>24</v>
      </c>
      <c r="M169" s="2">
        <v>2989</v>
      </c>
      <c r="N169" s="3">
        <v>3</v>
      </c>
      <c r="Q169" t="s">
        <v>9</v>
      </c>
      <c r="R169" t="s">
        <v>36</v>
      </c>
      <c r="S169" t="s">
        <v>25</v>
      </c>
      <c r="T169" s="2">
        <v>2142</v>
      </c>
      <c r="U169" s="3">
        <v>114</v>
      </c>
    </row>
    <row r="170" spans="3:21" x14ac:dyDescent="0.3">
      <c r="C170" t="s">
        <v>7</v>
      </c>
      <c r="D170" t="s">
        <v>37</v>
      </c>
      <c r="E170" t="s">
        <v>17</v>
      </c>
      <c r="F170" s="2">
        <v>4487</v>
      </c>
      <c r="G170" s="3">
        <v>111</v>
      </c>
      <c r="J170" t="s">
        <v>9</v>
      </c>
      <c r="K170" t="s">
        <v>36</v>
      </c>
      <c r="L170" t="s">
        <v>32</v>
      </c>
      <c r="M170" s="2">
        <v>2954</v>
      </c>
      <c r="N170" s="3">
        <v>189</v>
      </c>
      <c r="Q170" t="s">
        <v>7</v>
      </c>
      <c r="R170" t="s">
        <v>37</v>
      </c>
      <c r="S170" t="s">
        <v>17</v>
      </c>
      <c r="T170" s="2">
        <v>4487</v>
      </c>
      <c r="U170" s="3">
        <v>111</v>
      </c>
    </row>
    <row r="171" spans="3:21" x14ac:dyDescent="0.3">
      <c r="C171" t="s">
        <v>5</v>
      </c>
      <c r="D171" t="s">
        <v>36</v>
      </c>
      <c r="E171" t="s">
        <v>30</v>
      </c>
      <c r="F171" s="2">
        <v>1526</v>
      </c>
      <c r="G171" s="3">
        <v>105</v>
      </c>
      <c r="J171" t="s">
        <v>41</v>
      </c>
      <c r="K171" t="s">
        <v>37</v>
      </c>
      <c r="L171" t="s">
        <v>21</v>
      </c>
      <c r="M171" s="2">
        <v>2933</v>
      </c>
      <c r="N171" s="3">
        <v>9</v>
      </c>
      <c r="Q171" t="s">
        <v>5</v>
      </c>
      <c r="R171" t="s">
        <v>36</v>
      </c>
      <c r="S171" t="s">
        <v>30</v>
      </c>
      <c r="T171" s="2">
        <v>1526</v>
      </c>
      <c r="U171" s="3">
        <v>105</v>
      </c>
    </row>
    <row r="172" spans="3:21" x14ac:dyDescent="0.3">
      <c r="C172" t="s">
        <v>41</v>
      </c>
      <c r="D172" t="s">
        <v>37</v>
      </c>
      <c r="E172" t="s">
        <v>24</v>
      </c>
      <c r="F172" s="2">
        <v>6398</v>
      </c>
      <c r="G172" s="3">
        <v>102</v>
      </c>
      <c r="J172" t="s">
        <v>9</v>
      </c>
      <c r="K172" t="s">
        <v>37</v>
      </c>
      <c r="L172" t="s">
        <v>28</v>
      </c>
      <c r="M172" s="2">
        <v>2919</v>
      </c>
      <c r="N172" s="3">
        <v>45</v>
      </c>
      <c r="Q172" t="s">
        <v>41</v>
      </c>
      <c r="R172" t="s">
        <v>37</v>
      </c>
      <c r="S172" t="s">
        <v>24</v>
      </c>
      <c r="T172" s="2">
        <v>6398</v>
      </c>
      <c r="U172" s="3">
        <v>102</v>
      </c>
    </row>
    <row r="173" spans="3:21" x14ac:dyDescent="0.3">
      <c r="C173" t="s">
        <v>40</v>
      </c>
      <c r="D173" t="s">
        <v>38</v>
      </c>
      <c r="E173" t="s">
        <v>4</v>
      </c>
      <c r="F173" s="2">
        <v>6125</v>
      </c>
      <c r="G173" s="3">
        <v>102</v>
      </c>
      <c r="J173" t="s">
        <v>3</v>
      </c>
      <c r="K173" t="s">
        <v>34</v>
      </c>
      <c r="L173" t="s">
        <v>17</v>
      </c>
      <c r="M173" s="2">
        <v>2919</v>
      </c>
      <c r="N173" s="3">
        <v>93</v>
      </c>
      <c r="Q173" t="s">
        <v>5</v>
      </c>
      <c r="R173" t="s">
        <v>34</v>
      </c>
      <c r="S173" t="s">
        <v>29</v>
      </c>
      <c r="T173" s="2">
        <v>2891</v>
      </c>
      <c r="U173" s="3">
        <v>102</v>
      </c>
    </row>
    <row r="174" spans="3:21" x14ac:dyDescent="0.3">
      <c r="C174" t="s">
        <v>9</v>
      </c>
      <c r="D174" t="s">
        <v>38</v>
      </c>
      <c r="E174" t="s">
        <v>25</v>
      </c>
      <c r="F174" s="2">
        <v>3850</v>
      </c>
      <c r="G174" s="3">
        <v>102</v>
      </c>
      <c r="J174" t="s">
        <v>5</v>
      </c>
      <c r="K174" t="s">
        <v>34</v>
      </c>
      <c r="L174" t="s">
        <v>29</v>
      </c>
      <c r="M174" s="2">
        <v>2891</v>
      </c>
      <c r="N174" s="3">
        <v>102</v>
      </c>
      <c r="Q174" t="s">
        <v>6</v>
      </c>
      <c r="R174" t="s">
        <v>37</v>
      </c>
      <c r="S174" t="s">
        <v>18</v>
      </c>
      <c r="T174" s="2">
        <v>1505</v>
      </c>
      <c r="U174" s="3">
        <v>102</v>
      </c>
    </row>
    <row r="175" spans="3:21" x14ac:dyDescent="0.3">
      <c r="C175" t="s">
        <v>5</v>
      </c>
      <c r="D175" t="s">
        <v>34</v>
      </c>
      <c r="E175" t="s">
        <v>29</v>
      </c>
      <c r="F175" s="2">
        <v>2891</v>
      </c>
      <c r="G175" s="3">
        <v>102</v>
      </c>
      <c r="J175" t="s">
        <v>7</v>
      </c>
      <c r="K175" t="s">
        <v>36</v>
      </c>
      <c r="L175" t="s">
        <v>19</v>
      </c>
      <c r="M175" s="2">
        <v>2870</v>
      </c>
      <c r="N175" s="3">
        <v>300</v>
      </c>
      <c r="Q175" t="s">
        <v>40</v>
      </c>
      <c r="R175" t="s">
        <v>38</v>
      </c>
      <c r="S175" t="s">
        <v>4</v>
      </c>
      <c r="T175" s="2">
        <v>6125</v>
      </c>
      <c r="U175" s="3">
        <v>102</v>
      </c>
    </row>
    <row r="176" spans="3:21" x14ac:dyDescent="0.3">
      <c r="C176" t="s">
        <v>3</v>
      </c>
      <c r="D176" t="s">
        <v>39</v>
      </c>
      <c r="E176" t="s">
        <v>28</v>
      </c>
      <c r="F176" s="2">
        <v>1652</v>
      </c>
      <c r="G176" s="3">
        <v>102</v>
      </c>
      <c r="J176" t="s">
        <v>2</v>
      </c>
      <c r="K176" t="s">
        <v>37</v>
      </c>
      <c r="L176" t="s">
        <v>15</v>
      </c>
      <c r="M176" s="2">
        <v>2863</v>
      </c>
      <c r="N176" s="3">
        <v>42</v>
      </c>
      <c r="Q176" t="s">
        <v>3</v>
      </c>
      <c r="R176" t="s">
        <v>39</v>
      </c>
      <c r="S176" t="s">
        <v>28</v>
      </c>
      <c r="T176" s="2">
        <v>1652</v>
      </c>
      <c r="U176" s="3">
        <v>102</v>
      </c>
    </row>
    <row r="177" spans="3:21" x14ac:dyDescent="0.3">
      <c r="C177" t="s">
        <v>6</v>
      </c>
      <c r="D177" t="s">
        <v>37</v>
      </c>
      <c r="E177" t="s">
        <v>18</v>
      </c>
      <c r="F177" s="2">
        <v>1505</v>
      </c>
      <c r="G177" s="3">
        <v>102</v>
      </c>
      <c r="J177" t="s">
        <v>9</v>
      </c>
      <c r="K177" t="s">
        <v>37</v>
      </c>
      <c r="L177" t="s">
        <v>26</v>
      </c>
      <c r="M177" s="2">
        <v>2856</v>
      </c>
      <c r="N177" s="3">
        <v>246</v>
      </c>
      <c r="Q177" t="s">
        <v>9</v>
      </c>
      <c r="R177" t="s">
        <v>38</v>
      </c>
      <c r="S177" t="s">
        <v>25</v>
      </c>
      <c r="T177" s="2">
        <v>3850</v>
      </c>
      <c r="U177" s="3">
        <v>102</v>
      </c>
    </row>
    <row r="178" spans="3:21" x14ac:dyDescent="0.3">
      <c r="C178" t="s">
        <v>9</v>
      </c>
      <c r="D178" t="s">
        <v>38</v>
      </c>
      <c r="E178" t="s">
        <v>26</v>
      </c>
      <c r="F178" s="2">
        <v>2436</v>
      </c>
      <c r="G178" s="3">
        <v>99</v>
      </c>
      <c r="J178" t="s">
        <v>7</v>
      </c>
      <c r="K178" t="s">
        <v>35</v>
      </c>
      <c r="L178" t="s">
        <v>24</v>
      </c>
      <c r="M178" s="2">
        <v>2793</v>
      </c>
      <c r="N178" s="3">
        <v>114</v>
      </c>
      <c r="Q178" t="s">
        <v>9</v>
      </c>
      <c r="R178" t="s">
        <v>38</v>
      </c>
      <c r="S178" t="s">
        <v>26</v>
      </c>
      <c r="T178" s="2">
        <v>2436</v>
      </c>
      <c r="U178" s="3">
        <v>99</v>
      </c>
    </row>
    <row r="179" spans="3:21" x14ac:dyDescent="0.3">
      <c r="C179" t="s">
        <v>41</v>
      </c>
      <c r="D179" t="s">
        <v>35</v>
      </c>
      <c r="E179" t="s">
        <v>19</v>
      </c>
      <c r="F179" s="2">
        <v>609</v>
      </c>
      <c r="G179" s="3">
        <v>99</v>
      </c>
      <c r="J179" t="s">
        <v>40</v>
      </c>
      <c r="K179" t="s">
        <v>34</v>
      </c>
      <c r="L179" t="s">
        <v>23</v>
      </c>
      <c r="M179" s="2">
        <v>2779</v>
      </c>
      <c r="N179" s="3">
        <v>75</v>
      </c>
      <c r="Q179" t="s">
        <v>41</v>
      </c>
      <c r="R179" t="s">
        <v>35</v>
      </c>
      <c r="S179" t="s">
        <v>19</v>
      </c>
      <c r="T179" s="2">
        <v>609</v>
      </c>
      <c r="U179" s="3">
        <v>99</v>
      </c>
    </row>
    <row r="180" spans="3:21" x14ac:dyDescent="0.3">
      <c r="C180" t="s">
        <v>9</v>
      </c>
      <c r="D180" t="s">
        <v>37</v>
      </c>
      <c r="E180" t="s">
        <v>20</v>
      </c>
      <c r="F180" s="2">
        <v>7273</v>
      </c>
      <c r="G180" s="3">
        <v>96</v>
      </c>
      <c r="J180" t="s">
        <v>5</v>
      </c>
      <c r="K180" t="s">
        <v>35</v>
      </c>
      <c r="L180" t="s">
        <v>4</v>
      </c>
      <c r="M180" s="2">
        <v>2744</v>
      </c>
      <c r="N180" s="3">
        <v>9</v>
      </c>
      <c r="Q180" t="s">
        <v>7</v>
      </c>
      <c r="R180" t="s">
        <v>34</v>
      </c>
      <c r="S180" t="s">
        <v>25</v>
      </c>
      <c r="T180" s="2">
        <v>1568</v>
      </c>
      <c r="U180" s="3">
        <v>96</v>
      </c>
    </row>
    <row r="181" spans="3:21" x14ac:dyDescent="0.3">
      <c r="C181" t="s">
        <v>10</v>
      </c>
      <c r="D181" t="s">
        <v>35</v>
      </c>
      <c r="E181" t="s">
        <v>14</v>
      </c>
      <c r="F181" s="2">
        <v>3472</v>
      </c>
      <c r="G181" s="3">
        <v>96</v>
      </c>
      <c r="J181" t="s">
        <v>9</v>
      </c>
      <c r="K181" t="s">
        <v>37</v>
      </c>
      <c r="L181" t="s">
        <v>23</v>
      </c>
      <c r="M181" s="2">
        <v>2737</v>
      </c>
      <c r="N181" s="3">
        <v>93</v>
      </c>
      <c r="Q181" t="s">
        <v>9</v>
      </c>
      <c r="R181" t="s">
        <v>37</v>
      </c>
      <c r="S181" t="s">
        <v>20</v>
      </c>
      <c r="T181" s="2">
        <v>7273</v>
      </c>
      <c r="U181" s="3">
        <v>96</v>
      </c>
    </row>
    <row r="182" spans="3:21" x14ac:dyDescent="0.3">
      <c r="C182" t="s">
        <v>7</v>
      </c>
      <c r="D182" t="s">
        <v>34</v>
      </c>
      <c r="E182" t="s">
        <v>25</v>
      </c>
      <c r="F182" s="2">
        <v>1568</v>
      </c>
      <c r="G182" s="3">
        <v>96</v>
      </c>
      <c r="J182" t="s">
        <v>8</v>
      </c>
      <c r="K182" t="s">
        <v>35</v>
      </c>
      <c r="L182" t="s">
        <v>20</v>
      </c>
      <c r="M182" s="2">
        <v>2702</v>
      </c>
      <c r="N182" s="3">
        <v>363</v>
      </c>
      <c r="Q182" t="s">
        <v>10</v>
      </c>
      <c r="R182" t="s">
        <v>35</v>
      </c>
      <c r="S182" t="s">
        <v>14</v>
      </c>
      <c r="T182" s="2">
        <v>3472</v>
      </c>
      <c r="U182" s="3">
        <v>96</v>
      </c>
    </row>
    <row r="183" spans="3:21" x14ac:dyDescent="0.3">
      <c r="C183" t="s">
        <v>40</v>
      </c>
      <c r="D183" t="s">
        <v>37</v>
      </c>
      <c r="E183" t="s">
        <v>27</v>
      </c>
      <c r="F183" s="2">
        <v>6132</v>
      </c>
      <c r="G183" s="3">
        <v>93</v>
      </c>
      <c r="J183" t="s">
        <v>6</v>
      </c>
      <c r="K183" t="s">
        <v>38</v>
      </c>
      <c r="L183" t="s">
        <v>31</v>
      </c>
      <c r="M183" s="2">
        <v>2681</v>
      </c>
      <c r="N183" s="3">
        <v>54</v>
      </c>
      <c r="Q183" t="s">
        <v>9</v>
      </c>
      <c r="R183" t="s">
        <v>37</v>
      </c>
      <c r="S183" t="s">
        <v>23</v>
      </c>
      <c r="T183" s="2">
        <v>2737</v>
      </c>
      <c r="U183" s="3">
        <v>93</v>
      </c>
    </row>
    <row r="184" spans="3:21" x14ac:dyDescent="0.3">
      <c r="C184" t="s">
        <v>3</v>
      </c>
      <c r="D184" t="s">
        <v>34</v>
      </c>
      <c r="E184" t="s">
        <v>17</v>
      </c>
      <c r="F184" s="2">
        <v>2919</v>
      </c>
      <c r="G184" s="3">
        <v>93</v>
      </c>
      <c r="J184" t="s">
        <v>9</v>
      </c>
      <c r="K184" t="s">
        <v>38</v>
      </c>
      <c r="L184" t="s">
        <v>16</v>
      </c>
      <c r="M184" s="2">
        <v>2646</v>
      </c>
      <c r="N184" s="3">
        <v>120</v>
      </c>
      <c r="Q184" t="s">
        <v>10</v>
      </c>
      <c r="R184" t="s">
        <v>34</v>
      </c>
      <c r="S184" t="s">
        <v>25</v>
      </c>
      <c r="T184" s="2">
        <v>1428</v>
      </c>
      <c r="U184" s="3">
        <v>93</v>
      </c>
    </row>
    <row r="185" spans="3:21" x14ac:dyDescent="0.3">
      <c r="C185" t="s">
        <v>9</v>
      </c>
      <c r="D185" t="s">
        <v>37</v>
      </c>
      <c r="E185" t="s">
        <v>23</v>
      </c>
      <c r="F185" s="2">
        <v>2737</v>
      </c>
      <c r="G185" s="3">
        <v>93</v>
      </c>
      <c r="J185" t="s">
        <v>7</v>
      </c>
      <c r="K185" t="s">
        <v>36</v>
      </c>
      <c r="L185" t="s">
        <v>18</v>
      </c>
      <c r="M185" s="2">
        <v>2646</v>
      </c>
      <c r="N185" s="3">
        <v>177</v>
      </c>
      <c r="Q185" t="s">
        <v>5</v>
      </c>
      <c r="R185" t="s">
        <v>34</v>
      </c>
      <c r="S185" t="s">
        <v>33</v>
      </c>
      <c r="T185" s="2">
        <v>1652</v>
      </c>
      <c r="U185" s="3">
        <v>93</v>
      </c>
    </row>
    <row r="186" spans="3:21" x14ac:dyDescent="0.3">
      <c r="C186" t="s">
        <v>5</v>
      </c>
      <c r="D186" t="s">
        <v>34</v>
      </c>
      <c r="E186" t="s">
        <v>33</v>
      </c>
      <c r="F186" s="2">
        <v>1652</v>
      </c>
      <c r="G186" s="3">
        <v>93</v>
      </c>
      <c r="J186" t="s">
        <v>9</v>
      </c>
      <c r="K186" t="s">
        <v>39</v>
      </c>
      <c r="L186" t="s">
        <v>18</v>
      </c>
      <c r="M186" s="2">
        <v>2639</v>
      </c>
      <c r="N186" s="3">
        <v>204</v>
      </c>
      <c r="Q186" t="s">
        <v>40</v>
      </c>
      <c r="R186" t="s">
        <v>37</v>
      </c>
      <c r="S186" t="s">
        <v>27</v>
      </c>
      <c r="T186" s="2">
        <v>6132</v>
      </c>
      <c r="U186" s="3">
        <v>93</v>
      </c>
    </row>
    <row r="187" spans="3:21" x14ac:dyDescent="0.3">
      <c r="C187" t="s">
        <v>10</v>
      </c>
      <c r="D187" t="s">
        <v>34</v>
      </c>
      <c r="E187" t="s">
        <v>25</v>
      </c>
      <c r="F187" s="2">
        <v>1428</v>
      </c>
      <c r="G187" s="3">
        <v>93</v>
      </c>
      <c r="J187" t="s">
        <v>3</v>
      </c>
      <c r="K187" t="s">
        <v>34</v>
      </c>
      <c r="L187" t="s">
        <v>20</v>
      </c>
      <c r="M187" s="2">
        <v>2583</v>
      </c>
      <c r="N187" s="3">
        <v>18</v>
      </c>
      <c r="Q187" t="s">
        <v>3</v>
      </c>
      <c r="R187" t="s">
        <v>34</v>
      </c>
      <c r="S187" t="s">
        <v>17</v>
      </c>
      <c r="T187" s="2">
        <v>2919</v>
      </c>
      <c r="U187" s="3">
        <v>93</v>
      </c>
    </row>
    <row r="188" spans="3:21" x14ac:dyDescent="0.3">
      <c r="C188" t="s">
        <v>40</v>
      </c>
      <c r="D188" t="s">
        <v>36</v>
      </c>
      <c r="E188" t="s">
        <v>33</v>
      </c>
      <c r="F188" s="2">
        <v>9772</v>
      </c>
      <c r="G188" s="3">
        <v>90</v>
      </c>
      <c r="J188" t="s">
        <v>10</v>
      </c>
      <c r="K188" t="s">
        <v>35</v>
      </c>
      <c r="L188" t="s">
        <v>15</v>
      </c>
      <c r="M188" s="2">
        <v>2562</v>
      </c>
      <c r="N188" s="3">
        <v>6</v>
      </c>
      <c r="Q188" t="s">
        <v>9</v>
      </c>
      <c r="R188" t="s">
        <v>34</v>
      </c>
      <c r="S188" t="s">
        <v>23</v>
      </c>
      <c r="T188" s="2">
        <v>8155</v>
      </c>
      <c r="U188" s="3">
        <v>90</v>
      </c>
    </row>
    <row r="189" spans="3:21" x14ac:dyDescent="0.3">
      <c r="C189" t="s">
        <v>9</v>
      </c>
      <c r="D189" t="s">
        <v>34</v>
      </c>
      <c r="E189" t="s">
        <v>23</v>
      </c>
      <c r="F189" s="2">
        <v>8155</v>
      </c>
      <c r="G189" s="3">
        <v>90</v>
      </c>
      <c r="J189" t="s">
        <v>40</v>
      </c>
      <c r="K189" t="s">
        <v>38</v>
      </c>
      <c r="L189" t="s">
        <v>29</v>
      </c>
      <c r="M189" s="2">
        <v>2541</v>
      </c>
      <c r="N189" s="3">
        <v>45</v>
      </c>
      <c r="Q189" t="s">
        <v>40</v>
      </c>
      <c r="R189" t="s">
        <v>36</v>
      </c>
      <c r="S189" t="s">
        <v>33</v>
      </c>
      <c r="T189" s="2">
        <v>9772</v>
      </c>
      <c r="U189" s="3">
        <v>90</v>
      </c>
    </row>
    <row r="190" spans="3:21" x14ac:dyDescent="0.3">
      <c r="C190" t="s">
        <v>40</v>
      </c>
      <c r="D190" t="s">
        <v>38</v>
      </c>
      <c r="E190" t="s">
        <v>25</v>
      </c>
      <c r="F190" s="2">
        <v>2541</v>
      </c>
      <c r="G190" s="3">
        <v>90</v>
      </c>
      <c r="J190" t="s">
        <v>40</v>
      </c>
      <c r="K190" t="s">
        <v>38</v>
      </c>
      <c r="L190" t="s">
        <v>25</v>
      </c>
      <c r="M190" s="2">
        <v>2541</v>
      </c>
      <c r="N190" s="3">
        <v>90</v>
      </c>
      <c r="Q190" t="s">
        <v>40</v>
      </c>
      <c r="R190" t="s">
        <v>38</v>
      </c>
      <c r="S190" t="s">
        <v>25</v>
      </c>
      <c r="T190" s="2">
        <v>2541</v>
      </c>
      <c r="U190" s="3">
        <v>90</v>
      </c>
    </row>
    <row r="191" spans="3:21" x14ac:dyDescent="0.3">
      <c r="C191" t="s">
        <v>9</v>
      </c>
      <c r="D191" t="s">
        <v>38</v>
      </c>
      <c r="E191" t="s">
        <v>33</v>
      </c>
      <c r="F191" s="2">
        <v>9506</v>
      </c>
      <c r="G191" s="3">
        <v>87</v>
      </c>
      <c r="J191" t="s">
        <v>7</v>
      </c>
      <c r="K191" t="s">
        <v>35</v>
      </c>
      <c r="L191" t="s">
        <v>27</v>
      </c>
      <c r="M191" s="2">
        <v>2478</v>
      </c>
      <c r="N191" s="3">
        <v>21</v>
      </c>
      <c r="Q191" t="s">
        <v>6</v>
      </c>
      <c r="R191" t="s">
        <v>37</v>
      </c>
      <c r="S191" t="s">
        <v>31</v>
      </c>
      <c r="T191" s="2">
        <v>7693</v>
      </c>
      <c r="U191" s="3">
        <v>87</v>
      </c>
    </row>
    <row r="192" spans="3:21" x14ac:dyDescent="0.3">
      <c r="C192" t="s">
        <v>6</v>
      </c>
      <c r="D192" t="s">
        <v>37</v>
      </c>
      <c r="E192" t="s">
        <v>31</v>
      </c>
      <c r="F192" s="2">
        <v>7693</v>
      </c>
      <c r="G192" s="3">
        <v>87</v>
      </c>
      <c r="J192" t="s">
        <v>10</v>
      </c>
      <c r="K192" t="s">
        <v>36</v>
      </c>
      <c r="L192" t="s">
        <v>29</v>
      </c>
      <c r="M192" s="2">
        <v>2471</v>
      </c>
      <c r="N192" s="3">
        <v>342</v>
      </c>
      <c r="Q192" t="s">
        <v>7</v>
      </c>
      <c r="R192" t="s">
        <v>36</v>
      </c>
      <c r="S192" t="s">
        <v>32</v>
      </c>
      <c r="T192" s="2">
        <v>280</v>
      </c>
      <c r="U192" s="3">
        <v>87</v>
      </c>
    </row>
    <row r="193" spans="3:21" x14ac:dyDescent="0.3">
      <c r="C193" t="s">
        <v>10</v>
      </c>
      <c r="D193" t="s">
        <v>34</v>
      </c>
      <c r="E193" t="s">
        <v>17</v>
      </c>
      <c r="F193" s="2">
        <v>700</v>
      </c>
      <c r="G193" s="3">
        <v>87</v>
      </c>
      <c r="J193" t="s">
        <v>3</v>
      </c>
      <c r="K193" t="s">
        <v>35</v>
      </c>
      <c r="L193" t="s">
        <v>25</v>
      </c>
      <c r="M193" s="2">
        <v>2464</v>
      </c>
      <c r="N193" s="3">
        <v>234</v>
      </c>
      <c r="Q193" t="s">
        <v>40</v>
      </c>
      <c r="R193" t="s">
        <v>38</v>
      </c>
      <c r="S193" t="s">
        <v>26</v>
      </c>
      <c r="T193" s="2">
        <v>609</v>
      </c>
      <c r="U193" s="3">
        <v>87</v>
      </c>
    </row>
    <row r="194" spans="3:21" x14ac:dyDescent="0.3">
      <c r="C194" t="s">
        <v>40</v>
      </c>
      <c r="D194" t="s">
        <v>38</v>
      </c>
      <c r="E194" t="s">
        <v>26</v>
      </c>
      <c r="F194" s="2">
        <v>609</v>
      </c>
      <c r="G194" s="3">
        <v>87</v>
      </c>
      <c r="J194" t="s">
        <v>9</v>
      </c>
      <c r="K194" t="s">
        <v>38</v>
      </c>
      <c r="L194" t="s">
        <v>26</v>
      </c>
      <c r="M194" s="2">
        <v>2436</v>
      </c>
      <c r="N194" s="3">
        <v>99</v>
      </c>
      <c r="Q194" t="s">
        <v>9</v>
      </c>
      <c r="R194" t="s">
        <v>38</v>
      </c>
      <c r="S194" t="s">
        <v>33</v>
      </c>
      <c r="T194" s="2">
        <v>9506</v>
      </c>
      <c r="U194" s="3">
        <v>87</v>
      </c>
    </row>
    <row r="195" spans="3:21" x14ac:dyDescent="0.3">
      <c r="C195" t="s">
        <v>8</v>
      </c>
      <c r="D195" t="s">
        <v>37</v>
      </c>
      <c r="E195" t="s">
        <v>21</v>
      </c>
      <c r="F195" s="2">
        <v>434</v>
      </c>
      <c r="G195" s="3">
        <v>87</v>
      </c>
      <c r="J195" t="s">
        <v>9</v>
      </c>
      <c r="K195" t="s">
        <v>35</v>
      </c>
      <c r="L195" t="s">
        <v>27</v>
      </c>
      <c r="M195" s="2">
        <v>2429</v>
      </c>
      <c r="N195" s="3">
        <v>144</v>
      </c>
      <c r="Q195" t="s">
        <v>10</v>
      </c>
      <c r="R195" t="s">
        <v>34</v>
      </c>
      <c r="S195" t="s">
        <v>17</v>
      </c>
      <c r="T195" s="2">
        <v>700</v>
      </c>
      <c r="U195" s="3">
        <v>87</v>
      </c>
    </row>
    <row r="196" spans="3:21" x14ac:dyDescent="0.3">
      <c r="C196" t="s">
        <v>7</v>
      </c>
      <c r="D196" t="s">
        <v>36</v>
      </c>
      <c r="E196" t="s">
        <v>32</v>
      </c>
      <c r="F196" s="2">
        <v>280</v>
      </c>
      <c r="G196" s="3">
        <v>87</v>
      </c>
      <c r="J196" t="s">
        <v>5</v>
      </c>
      <c r="K196" t="s">
        <v>35</v>
      </c>
      <c r="L196" t="s">
        <v>18</v>
      </c>
      <c r="M196" s="2">
        <v>2415</v>
      </c>
      <c r="N196" s="3">
        <v>15</v>
      </c>
      <c r="Q196" t="s">
        <v>8</v>
      </c>
      <c r="R196" t="s">
        <v>37</v>
      </c>
      <c r="S196" t="s">
        <v>21</v>
      </c>
      <c r="T196" s="2">
        <v>434</v>
      </c>
      <c r="U196" s="3">
        <v>87</v>
      </c>
    </row>
    <row r="197" spans="3:21" x14ac:dyDescent="0.3">
      <c r="C197" t="s">
        <v>41</v>
      </c>
      <c r="D197" t="s">
        <v>36</v>
      </c>
      <c r="E197" t="s">
        <v>32</v>
      </c>
      <c r="F197" s="2">
        <v>10304</v>
      </c>
      <c r="G197" s="3">
        <v>84</v>
      </c>
      <c r="J197" t="s">
        <v>3</v>
      </c>
      <c r="K197" t="s">
        <v>35</v>
      </c>
      <c r="L197" t="s">
        <v>14</v>
      </c>
      <c r="M197" s="2">
        <v>2415</v>
      </c>
      <c r="N197" s="3">
        <v>255</v>
      </c>
      <c r="Q197" t="s">
        <v>8</v>
      </c>
      <c r="R197" t="s">
        <v>38</v>
      </c>
      <c r="S197" t="s">
        <v>22</v>
      </c>
      <c r="T197" s="2">
        <v>168</v>
      </c>
      <c r="U197" s="3">
        <v>84</v>
      </c>
    </row>
    <row r="198" spans="3:21" x14ac:dyDescent="0.3">
      <c r="C198" t="s">
        <v>5</v>
      </c>
      <c r="D198" t="s">
        <v>35</v>
      </c>
      <c r="E198" t="s">
        <v>22</v>
      </c>
      <c r="F198" s="2">
        <v>490</v>
      </c>
      <c r="G198" s="3">
        <v>84</v>
      </c>
      <c r="J198" t="s">
        <v>9</v>
      </c>
      <c r="K198" t="s">
        <v>38</v>
      </c>
      <c r="L198" t="s">
        <v>17</v>
      </c>
      <c r="M198" s="2">
        <v>2408</v>
      </c>
      <c r="N198" s="3">
        <v>9</v>
      </c>
      <c r="Q198" t="s">
        <v>41</v>
      </c>
      <c r="R198" t="s">
        <v>36</v>
      </c>
      <c r="S198" t="s">
        <v>32</v>
      </c>
      <c r="T198" s="2">
        <v>10304</v>
      </c>
      <c r="U198" s="3">
        <v>84</v>
      </c>
    </row>
    <row r="199" spans="3:21" x14ac:dyDescent="0.3">
      <c r="C199" t="s">
        <v>8</v>
      </c>
      <c r="D199" t="s">
        <v>38</v>
      </c>
      <c r="E199" t="s">
        <v>22</v>
      </c>
      <c r="F199" s="2">
        <v>168</v>
      </c>
      <c r="G199" s="3">
        <v>84</v>
      </c>
      <c r="J199" t="s">
        <v>41</v>
      </c>
      <c r="K199" t="s">
        <v>37</v>
      </c>
      <c r="L199" t="s">
        <v>26</v>
      </c>
      <c r="M199" s="2">
        <v>2324</v>
      </c>
      <c r="N199" s="3">
        <v>177</v>
      </c>
      <c r="Q199" t="s">
        <v>5</v>
      </c>
      <c r="R199" t="s">
        <v>35</v>
      </c>
      <c r="S199" t="s">
        <v>22</v>
      </c>
      <c r="T199" s="2">
        <v>490</v>
      </c>
      <c r="U199" s="3">
        <v>84</v>
      </c>
    </row>
    <row r="200" spans="3:21" x14ac:dyDescent="0.3">
      <c r="C200" t="s">
        <v>2</v>
      </c>
      <c r="D200" t="s">
        <v>39</v>
      </c>
      <c r="E200" t="s">
        <v>27</v>
      </c>
      <c r="F200" s="2">
        <v>7812</v>
      </c>
      <c r="G200" s="3">
        <v>81</v>
      </c>
      <c r="J200" t="s">
        <v>6</v>
      </c>
      <c r="K200" t="s">
        <v>38</v>
      </c>
      <c r="L200" t="s">
        <v>13</v>
      </c>
      <c r="M200" s="2">
        <v>2317</v>
      </c>
      <c r="N200" s="3">
        <v>123</v>
      </c>
      <c r="Q200" t="s">
        <v>2</v>
      </c>
      <c r="R200" t="s">
        <v>39</v>
      </c>
      <c r="S200" t="s">
        <v>27</v>
      </c>
      <c r="T200" s="2">
        <v>7812</v>
      </c>
      <c r="U200" s="3">
        <v>81</v>
      </c>
    </row>
    <row r="201" spans="3:21" x14ac:dyDescent="0.3">
      <c r="C201" t="s">
        <v>5</v>
      </c>
      <c r="D201" t="s">
        <v>39</v>
      </c>
      <c r="E201" t="s">
        <v>22</v>
      </c>
      <c r="F201" s="2">
        <v>6909</v>
      </c>
      <c r="G201" s="3">
        <v>81</v>
      </c>
      <c r="J201" t="s">
        <v>10</v>
      </c>
      <c r="K201" t="s">
        <v>36</v>
      </c>
      <c r="L201" t="s">
        <v>23</v>
      </c>
      <c r="M201" s="2">
        <v>2317</v>
      </c>
      <c r="N201" s="3">
        <v>261</v>
      </c>
      <c r="Q201" t="s">
        <v>6</v>
      </c>
      <c r="R201" t="s">
        <v>37</v>
      </c>
      <c r="S201" t="s">
        <v>30</v>
      </c>
      <c r="T201" s="2">
        <v>560</v>
      </c>
      <c r="U201" s="3">
        <v>81</v>
      </c>
    </row>
    <row r="202" spans="3:21" x14ac:dyDescent="0.3">
      <c r="C202" t="s">
        <v>8</v>
      </c>
      <c r="D202" t="s">
        <v>35</v>
      </c>
      <c r="E202" t="s">
        <v>30</v>
      </c>
      <c r="F202" s="2">
        <v>3598</v>
      </c>
      <c r="G202" s="3">
        <v>81</v>
      </c>
      <c r="J202" t="s">
        <v>40</v>
      </c>
      <c r="K202" t="s">
        <v>34</v>
      </c>
      <c r="L202" t="s">
        <v>27</v>
      </c>
      <c r="M202" s="2">
        <v>2289</v>
      </c>
      <c r="N202" s="3">
        <v>135</v>
      </c>
      <c r="Q202" t="s">
        <v>8</v>
      </c>
      <c r="R202" t="s">
        <v>35</v>
      </c>
      <c r="S202" t="s">
        <v>30</v>
      </c>
      <c r="T202" s="2">
        <v>3598</v>
      </c>
      <c r="U202" s="3">
        <v>81</v>
      </c>
    </row>
    <row r="203" spans="3:21" x14ac:dyDescent="0.3">
      <c r="C203" t="s">
        <v>6</v>
      </c>
      <c r="D203" t="s">
        <v>37</v>
      </c>
      <c r="E203" t="s">
        <v>30</v>
      </c>
      <c r="F203" s="2">
        <v>560</v>
      </c>
      <c r="G203" s="3">
        <v>81</v>
      </c>
      <c r="J203" t="s">
        <v>40</v>
      </c>
      <c r="K203" t="s">
        <v>35</v>
      </c>
      <c r="L203" t="s">
        <v>30</v>
      </c>
      <c r="M203" s="2">
        <v>2275</v>
      </c>
      <c r="N203" s="3">
        <v>447</v>
      </c>
      <c r="Q203" t="s">
        <v>5</v>
      </c>
      <c r="R203" t="s">
        <v>39</v>
      </c>
      <c r="S203" t="s">
        <v>22</v>
      </c>
      <c r="T203" s="2">
        <v>6909</v>
      </c>
      <c r="U203" s="3">
        <v>81</v>
      </c>
    </row>
    <row r="204" spans="3:21" x14ac:dyDescent="0.3">
      <c r="C204" t="s">
        <v>8</v>
      </c>
      <c r="D204" t="s">
        <v>38</v>
      </c>
      <c r="E204" t="s">
        <v>21</v>
      </c>
      <c r="F204" s="2">
        <v>6433</v>
      </c>
      <c r="G204" s="3">
        <v>78</v>
      </c>
      <c r="J204" t="s">
        <v>8</v>
      </c>
      <c r="K204" t="s">
        <v>38</v>
      </c>
      <c r="L204" t="s">
        <v>27</v>
      </c>
      <c r="M204" s="2">
        <v>2268</v>
      </c>
      <c r="N204" s="3">
        <v>63</v>
      </c>
      <c r="Q204" t="s">
        <v>3</v>
      </c>
      <c r="R204" t="s">
        <v>35</v>
      </c>
      <c r="S204" t="s">
        <v>23</v>
      </c>
      <c r="T204" s="2">
        <v>2023</v>
      </c>
      <c r="U204" s="3">
        <v>78</v>
      </c>
    </row>
    <row r="205" spans="3:21" x14ac:dyDescent="0.3">
      <c r="C205" t="s">
        <v>3</v>
      </c>
      <c r="D205" t="s">
        <v>35</v>
      </c>
      <c r="E205" t="s">
        <v>23</v>
      </c>
      <c r="F205" s="2">
        <v>2023</v>
      </c>
      <c r="G205" s="3">
        <v>78</v>
      </c>
      <c r="J205" t="s">
        <v>7</v>
      </c>
      <c r="K205" t="s">
        <v>34</v>
      </c>
      <c r="L205" t="s">
        <v>33</v>
      </c>
      <c r="M205" s="2">
        <v>2226</v>
      </c>
      <c r="N205" s="3">
        <v>48</v>
      </c>
      <c r="Q205" t="s">
        <v>8</v>
      </c>
      <c r="R205" t="s">
        <v>38</v>
      </c>
      <c r="S205" t="s">
        <v>21</v>
      </c>
      <c r="T205" s="2">
        <v>6433</v>
      </c>
      <c r="U205" s="3">
        <v>78</v>
      </c>
    </row>
    <row r="206" spans="3:21" x14ac:dyDescent="0.3">
      <c r="C206" t="s">
        <v>2</v>
      </c>
      <c r="D206" t="s">
        <v>36</v>
      </c>
      <c r="E206" t="s">
        <v>29</v>
      </c>
      <c r="F206" s="2">
        <v>8211</v>
      </c>
      <c r="G206" s="3">
        <v>75</v>
      </c>
      <c r="J206" t="s">
        <v>6</v>
      </c>
      <c r="K206" t="s">
        <v>34</v>
      </c>
      <c r="L206" t="s">
        <v>16</v>
      </c>
      <c r="M206" s="2">
        <v>2219</v>
      </c>
      <c r="N206" s="3">
        <v>75</v>
      </c>
      <c r="Q206" t="s">
        <v>7</v>
      </c>
      <c r="R206" t="s">
        <v>38</v>
      </c>
      <c r="S206" t="s">
        <v>14</v>
      </c>
      <c r="T206" s="2">
        <v>1281</v>
      </c>
      <c r="U206" s="3">
        <v>75</v>
      </c>
    </row>
    <row r="207" spans="3:21" x14ac:dyDescent="0.3">
      <c r="C207" t="s">
        <v>6</v>
      </c>
      <c r="D207" t="s">
        <v>34</v>
      </c>
      <c r="E207" t="s">
        <v>29</v>
      </c>
      <c r="F207" s="2">
        <v>3339</v>
      </c>
      <c r="G207" s="3">
        <v>75</v>
      </c>
      <c r="J207" t="s">
        <v>3</v>
      </c>
      <c r="K207" t="s">
        <v>34</v>
      </c>
      <c r="L207" t="s">
        <v>23</v>
      </c>
      <c r="M207" s="2">
        <v>2212</v>
      </c>
      <c r="N207" s="3">
        <v>117</v>
      </c>
      <c r="Q207" t="s">
        <v>7</v>
      </c>
      <c r="R207" t="s">
        <v>34</v>
      </c>
      <c r="S207" t="s">
        <v>32</v>
      </c>
      <c r="T207" s="2">
        <v>3262</v>
      </c>
      <c r="U207" s="3">
        <v>75</v>
      </c>
    </row>
    <row r="208" spans="3:21" x14ac:dyDescent="0.3">
      <c r="C208" t="s">
        <v>7</v>
      </c>
      <c r="D208" t="s">
        <v>34</v>
      </c>
      <c r="E208" t="s">
        <v>32</v>
      </c>
      <c r="F208" s="2">
        <v>3262</v>
      </c>
      <c r="G208" s="3">
        <v>75</v>
      </c>
      <c r="J208" t="s">
        <v>7</v>
      </c>
      <c r="K208" t="s">
        <v>34</v>
      </c>
      <c r="L208" t="s">
        <v>20</v>
      </c>
      <c r="M208" s="2">
        <v>2205</v>
      </c>
      <c r="N208" s="3">
        <v>138</v>
      </c>
      <c r="Q208" t="s">
        <v>6</v>
      </c>
      <c r="R208" t="s">
        <v>34</v>
      </c>
      <c r="S208" t="s">
        <v>29</v>
      </c>
      <c r="T208" s="2">
        <v>3339</v>
      </c>
      <c r="U208" s="3">
        <v>75</v>
      </c>
    </row>
    <row r="209" spans="3:21" x14ac:dyDescent="0.3">
      <c r="C209" t="s">
        <v>40</v>
      </c>
      <c r="D209" t="s">
        <v>34</v>
      </c>
      <c r="E209" t="s">
        <v>23</v>
      </c>
      <c r="F209" s="2">
        <v>2779</v>
      </c>
      <c r="G209" s="3">
        <v>75</v>
      </c>
      <c r="J209" t="s">
        <v>10</v>
      </c>
      <c r="K209" t="s">
        <v>38</v>
      </c>
      <c r="L209" t="s">
        <v>22</v>
      </c>
      <c r="M209" s="2">
        <v>2205</v>
      </c>
      <c r="N209" s="3">
        <v>141</v>
      </c>
      <c r="Q209" t="s">
        <v>2</v>
      </c>
      <c r="R209" t="s">
        <v>36</v>
      </c>
      <c r="S209" t="s">
        <v>29</v>
      </c>
      <c r="T209" s="2">
        <v>8211</v>
      </c>
      <c r="U209" s="3">
        <v>75</v>
      </c>
    </row>
    <row r="210" spans="3:21" x14ac:dyDescent="0.3">
      <c r="C210" t="s">
        <v>6</v>
      </c>
      <c r="D210" t="s">
        <v>34</v>
      </c>
      <c r="E210" t="s">
        <v>16</v>
      </c>
      <c r="F210" s="2">
        <v>2219</v>
      </c>
      <c r="G210" s="3">
        <v>75</v>
      </c>
      <c r="J210" t="s">
        <v>7</v>
      </c>
      <c r="K210" t="s">
        <v>36</v>
      </c>
      <c r="L210" t="s">
        <v>31</v>
      </c>
      <c r="M210" s="2">
        <v>2149</v>
      </c>
      <c r="N210" s="3">
        <v>117</v>
      </c>
      <c r="Q210" t="s">
        <v>6</v>
      </c>
      <c r="R210" t="s">
        <v>38</v>
      </c>
      <c r="S210" t="s">
        <v>25</v>
      </c>
      <c r="T210" s="2">
        <v>469</v>
      </c>
      <c r="U210" s="3">
        <v>75</v>
      </c>
    </row>
    <row r="211" spans="3:21" x14ac:dyDescent="0.3">
      <c r="C211" t="s">
        <v>7</v>
      </c>
      <c r="D211" t="s">
        <v>38</v>
      </c>
      <c r="E211" t="s">
        <v>14</v>
      </c>
      <c r="F211" s="2">
        <v>1281</v>
      </c>
      <c r="G211" s="3">
        <v>75</v>
      </c>
      <c r="J211" t="s">
        <v>9</v>
      </c>
      <c r="K211" t="s">
        <v>36</v>
      </c>
      <c r="L211" t="s">
        <v>25</v>
      </c>
      <c r="M211" s="2">
        <v>2142</v>
      </c>
      <c r="N211" s="3">
        <v>114</v>
      </c>
      <c r="Q211" t="s">
        <v>5</v>
      </c>
      <c r="R211" t="s">
        <v>37</v>
      </c>
      <c r="S211" t="s">
        <v>22</v>
      </c>
      <c r="T211" s="2">
        <v>518</v>
      </c>
      <c r="U211" s="3">
        <v>75</v>
      </c>
    </row>
    <row r="212" spans="3:21" x14ac:dyDescent="0.3">
      <c r="C212" t="s">
        <v>10</v>
      </c>
      <c r="D212" t="s">
        <v>36</v>
      </c>
      <c r="E212" t="s">
        <v>13</v>
      </c>
      <c r="F212" s="2">
        <v>945</v>
      </c>
      <c r="G212" s="3">
        <v>75</v>
      </c>
      <c r="J212" t="s">
        <v>7</v>
      </c>
      <c r="K212" t="s">
        <v>35</v>
      </c>
      <c r="L212" t="s">
        <v>16</v>
      </c>
      <c r="M212" s="2">
        <v>2135</v>
      </c>
      <c r="N212" s="3">
        <v>27</v>
      </c>
      <c r="Q212" t="s">
        <v>40</v>
      </c>
      <c r="R212" t="s">
        <v>34</v>
      </c>
      <c r="S212" t="s">
        <v>23</v>
      </c>
      <c r="T212" s="2">
        <v>2779</v>
      </c>
      <c r="U212" s="3">
        <v>75</v>
      </c>
    </row>
    <row r="213" spans="3:21" x14ac:dyDescent="0.3">
      <c r="C213" t="s">
        <v>5</v>
      </c>
      <c r="D213" t="s">
        <v>37</v>
      </c>
      <c r="E213" t="s">
        <v>22</v>
      </c>
      <c r="F213" s="2">
        <v>518</v>
      </c>
      <c r="G213" s="3">
        <v>75</v>
      </c>
      <c r="J213" t="s">
        <v>3</v>
      </c>
      <c r="K213" t="s">
        <v>35</v>
      </c>
      <c r="L213" t="s">
        <v>29</v>
      </c>
      <c r="M213" s="2">
        <v>2114</v>
      </c>
      <c r="N213" s="3">
        <v>66</v>
      </c>
      <c r="Q213" t="s">
        <v>6</v>
      </c>
      <c r="R213" t="s">
        <v>34</v>
      </c>
      <c r="S213" t="s">
        <v>16</v>
      </c>
      <c r="T213" s="2">
        <v>2219</v>
      </c>
      <c r="U213" s="3">
        <v>75</v>
      </c>
    </row>
    <row r="214" spans="3:21" x14ac:dyDescent="0.3">
      <c r="C214" t="s">
        <v>6</v>
      </c>
      <c r="D214" t="s">
        <v>38</v>
      </c>
      <c r="E214" t="s">
        <v>25</v>
      </c>
      <c r="F214" s="2">
        <v>469</v>
      </c>
      <c r="G214" s="3">
        <v>75</v>
      </c>
      <c r="J214" t="s">
        <v>41</v>
      </c>
      <c r="K214" t="s">
        <v>35</v>
      </c>
      <c r="L214" t="s">
        <v>15</v>
      </c>
      <c r="M214" s="2">
        <v>2114</v>
      </c>
      <c r="N214" s="3">
        <v>186</v>
      </c>
      <c r="Q214" t="s">
        <v>10</v>
      </c>
      <c r="R214" t="s">
        <v>36</v>
      </c>
      <c r="S214" t="s">
        <v>13</v>
      </c>
      <c r="T214" s="2">
        <v>945</v>
      </c>
      <c r="U214" s="3">
        <v>75</v>
      </c>
    </row>
    <row r="215" spans="3:21" x14ac:dyDescent="0.3">
      <c r="C215" t="s">
        <v>40</v>
      </c>
      <c r="D215" t="s">
        <v>37</v>
      </c>
      <c r="E215" t="s">
        <v>29</v>
      </c>
      <c r="F215" s="2">
        <v>9002</v>
      </c>
      <c r="G215" s="3">
        <v>72</v>
      </c>
      <c r="J215" t="s">
        <v>6</v>
      </c>
      <c r="K215" t="s">
        <v>39</v>
      </c>
      <c r="L215" t="s">
        <v>25</v>
      </c>
      <c r="M215" s="2">
        <v>2100</v>
      </c>
      <c r="N215" s="3">
        <v>414</v>
      </c>
      <c r="Q215" t="s">
        <v>41</v>
      </c>
      <c r="R215" t="s">
        <v>39</v>
      </c>
      <c r="S215" t="s">
        <v>14</v>
      </c>
      <c r="T215" s="2">
        <v>3976</v>
      </c>
      <c r="U215" s="3">
        <v>72</v>
      </c>
    </row>
    <row r="216" spans="3:21" x14ac:dyDescent="0.3">
      <c r="C216" t="s">
        <v>41</v>
      </c>
      <c r="D216" t="s">
        <v>39</v>
      </c>
      <c r="E216" t="s">
        <v>14</v>
      </c>
      <c r="F216" s="2">
        <v>3976</v>
      </c>
      <c r="G216" s="3">
        <v>72</v>
      </c>
      <c r="J216" t="s">
        <v>3</v>
      </c>
      <c r="K216" t="s">
        <v>35</v>
      </c>
      <c r="L216" t="s">
        <v>23</v>
      </c>
      <c r="M216" s="2">
        <v>2023</v>
      </c>
      <c r="N216" s="3">
        <v>78</v>
      </c>
      <c r="Q216" t="s">
        <v>10</v>
      </c>
      <c r="R216" t="s">
        <v>36</v>
      </c>
      <c r="S216" t="s">
        <v>27</v>
      </c>
      <c r="T216" s="2">
        <v>1407</v>
      </c>
      <c r="U216" s="3">
        <v>72</v>
      </c>
    </row>
    <row r="217" spans="3:21" x14ac:dyDescent="0.3">
      <c r="C217" t="s">
        <v>9</v>
      </c>
      <c r="D217" t="s">
        <v>39</v>
      </c>
      <c r="E217" t="s">
        <v>25</v>
      </c>
      <c r="F217" s="2">
        <v>3192</v>
      </c>
      <c r="G217" s="3">
        <v>72</v>
      </c>
      <c r="J217" t="s">
        <v>8</v>
      </c>
      <c r="K217" t="s">
        <v>35</v>
      </c>
      <c r="L217" t="s">
        <v>29</v>
      </c>
      <c r="M217" s="2">
        <v>2023</v>
      </c>
      <c r="N217" s="3">
        <v>168</v>
      </c>
      <c r="Q217" t="s">
        <v>9</v>
      </c>
      <c r="R217" t="s">
        <v>39</v>
      </c>
      <c r="S217" t="s">
        <v>25</v>
      </c>
      <c r="T217" s="2">
        <v>3192</v>
      </c>
      <c r="U217" s="3">
        <v>72</v>
      </c>
    </row>
    <row r="218" spans="3:21" x14ac:dyDescent="0.3">
      <c r="C218" t="s">
        <v>10</v>
      </c>
      <c r="D218" t="s">
        <v>36</v>
      </c>
      <c r="E218" t="s">
        <v>27</v>
      </c>
      <c r="F218" s="2">
        <v>1407</v>
      </c>
      <c r="G218" s="3">
        <v>72</v>
      </c>
      <c r="J218" t="s">
        <v>2</v>
      </c>
      <c r="K218" t="s">
        <v>39</v>
      </c>
      <c r="L218" t="s">
        <v>16</v>
      </c>
      <c r="M218" s="2">
        <v>2016</v>
      </c>
      <c r="N218" s="3">
        <v>117</v>
      </c>
      <c r="Q218" t="s">
        <v>40</v>
      </c>
      <c r="R218" t="s">
        <v>37</v>
      </c>
      <c r="S218" t="s">
        <v>29</v>
      </c>
      <c r="T218" s="2">
        <v>9002</v>
      </c>
      <c r="U218" s="3">
        <v>72</v>
      </c>
    </row>
    <row r="219" spans="3:21" x14ac:dyDescent="0.3">
      <c r="C219" t="s">
        <v>41</v>
      </c>
      <c r="D219" t="s">
        <v>35</v>
      </c>
      <c r="E219" t="s">
        <v>13</v>
      </c>
      <c r="F219" s="2">
        <v>4760</v>
      </c>
      <c r="G219" s="3">
        <v>69</v>
      </c>
      <c r="J219" t="s">
        <v>8</v>
      </c>
      <c r="K219" t="s">
        <v>34</v>
      </c>
      <c r="L219" t="s">
        <v>16</v>
      </c>
      <c r="M219" s="2">
        <v>2009</v>
      </c>
      <c r="N219" s="3">
        <v>219</v>
      </c>
      <c r="Q219" t="s">
        <v>41</v>
      </c>
      <c r="R219" t="s">
        <v>35</v>
      </c>
      <c r="S219" t="s">
        <v>13</v>
      </c>
      <c r="T219" s="2">
        <v>4760</v>
      </c>
      <c r="U219" s="3">
        <v>69</v>
      </c>
    </row>
    <row r="220" spans="3:21" x14ac:dyDescent="0.3">
      <c r="C220" t="s">
        <v>3</v>
      </c>
      <c r="D220" t="s">
        <v>35</v>
      </c>
      <c r="E220" t="s">
        <v>29</v>
      </c>
      <c r="F220" s="2">
        <v>2114</v>
      </c>
      <c r="G220" s="3">
        <v>66</v>
      </c>
      <c r="J220" t="s">
        <v>40</v>
      </c>
      <c r="K220" t="s">
        <v>38</v>
      </c>
      <c r="L220" t="s">
        <v>31</v>
      </c>
      <c r="M220" s="2">
        <v>1988</v>
      </c>
      <c r="N220" s="3">
        <v>39</v>
      </c>
      <c r="Q220" t="s">
        <v>3</v>
      </c>
      <c r="R220" t="s">
        <v>35</v>
      </c>
      <c r="S220" t="s">
        <v>29</v>
      </c>
      <c r="T220" s="2">
        <v>2114</v>
      </c>
      <c r="U220" s="3">
        <v>66</v>
      </c>
    </row>
    <row r="221" spans="3:21" x14ac:dyDescent="0.3">
      <c r="C221" t="s">
        <v>5</v>
      </c>
      <c r="D221" t="s">
        <v>36</v>
      </c>
      <c r="E221" t="s">
        <v>13</v>
      </c>
      <c r="F221" s="2">
        <v>6146</v>
      </c>
      <c r="G221" s="3">
        <v>63</v>
      </c>
      <c r="J221" t="s">
        <v>10</v>
      </c>
      <c r="K221" t="s">
        <v>35</v>
      </c>
      <c r="L221" t="s">
        <v>20</v>
      </c>
      <c r="M221" s="2">
        <v>1974</v>
      </c>
      <c r="N221" s="3">
        <v>195</v>
      </c>
      <c r="Q221" t="s">
        <v>6</v>
      </c>
      <c r="R221" t="s">
        <v>36</v>
      </c>
      <c r="S221" t="s">
        <v>21</v>
      </c>
      <c r="T221" s="2">
        <v>497</v>
      </c>
      <c r="U221" s="3">
        <v>63</v>
      </c>
    </row>
    <row r="222" spans="3:21" x14ac:dyDescent="0.3">
      <c r="C222" t="s">
        <v>7</v>
      </c>
      <c r="D222" t="s">
        <v>35</v>
      </c>
      <c r="E222" t="s">
        <v>14</v>
      </c>
      <c r="F222" s="2">
        <v>4606</v>
      </c>
      <c r="G222" s="3">
        <v>63</v>
      </c>
      <c r="J222" t="s">
        <v>7</v>
      </c>
      <c r="K222" t="s">
        <v>34</v>
      </c>
      <c r="L222" t="s">
        <v>14</v>
      </c>
      <c r="M222" s="2">
        <v>1932</v>
      </c>
      <c r="N222" s="3">
        <v>369</v>
      </c>
      <c r="Q222" t="s">
        <v>7</v>
      </c>
      <c r="R222" t="s">
        <v>35</v>
      </c>
      <c r="S222" t="s">
        <v>14</v>
      </c>
      <c r="T222" s="2">
        <v>4606</v>
      </c>
      <c r="U222" s="3">
        <v>63</v>
      </c>
    </row>
    <row r="223" spans="3:21" x14ac:dyDescent="0.3">
      <c r="C223" t="s">
        <v>8</v>
      </c>
      <c r="D223" t="s">
        <v>38</v>
      </c>
      <c r="E223" t="s">
        <v>27</v>
      </c>
      <c r="F223" s="2">
        <v>2268</v>
      </c>
      <c r="G223" s="3">
        <v>63</v>
      </c>
      <c r="J223" t="s">
        <v>41</v>
      </c>
      <c r="K223" t="s">
        <v>36</v>
      </c>
      <c r="L223" t="s">
        <v>19</v>
      </c>
      <c r="M223" s="2">
        <v>1925</v>
      </c>
      <c r="N223" s="3">
        <v>192</v>
      </c>
      <c r="Q223" t="s">
        <v>5</v>
      </c>
      <c r="R223" t="s">
        <v>36</v>
      </c>
      <c r="S223" t="s">
        <v>13</v>
      </c>
      <c r="T223" s="2">
        <v>6146</v>
      </c>
      <c r="U223" s="3">
        <v>63</v>
      </c>
    </row>
    <row r="224" spans="3:21" x14ac:dyDescent="0.3">
      <c r="C224" t="s">
        <v>6</v>
      </c>
      <c r="D224" t="s">
        <v>39</v>
      </c>
      <c r="E224" t="s">
        <v>30</v>
      </c>
      <c r="F224" s="2">
        <v>1638</v>
      </c>
      <c r="G224" s="3">
        <v>63</v>
      </c>
      <c r="J224" t="s">
        <v>6</v>
      </c>
      <c r="K224" t="s">
        <v>37</v>
      </c>
      <c r="L224" t="s">
        <v>16</v>
      </c>
      <c r="M224" s="2">
        <v>1904</v>
      </c>
      <c r="N224" s="3">
        <v>405</v>
      </c>
      <c r="Q224" t="s">
        <v>6</v>
      </c>
      <c r="R224" t="s">
        <v>39</v>
      </c>
      <c r="S224" t="s">
        <v>30</v>
      </c>
      <c r="T224" s="2">
        <v>1638</v>
      </c>
      <c r="U224" s="3">
        <v>63</v>
      </c>
    </row>
    <row r="225" spans="3:21" x14ac:dyDescent="0.3">
      <c r="C225" t="s">
        <v>6</v>
      </c>
      <c r="D225" t="s">
        <v>36</v>
      </c>
      <c r="E225" t="s">
        <v>21</v>
      </c>
      <c r="F225" s="2">
        <v>497</v>
      </c>
      <c r="G225" s="3">
        <v>63</v>
      </c>
      <c r="J225" t="s">
        <v>8</v>
      </c>
      <c r="K225" t="s">
        <v>37</v>
      </c>
      <c r="L225" t="s">
        <v>22</v>
      </c>
      <c r="M225" s="2">
        <v>1890</v>
      </c>
      <c r="N225" s="3">
        <v>195</v>
      </c>
      <c r="Q225" t="s">
        <v>8</v>
      </c>
      <c r="R225" t="s">
        <v>38</v>
      </c>
      <c r="S225" t="s">
        <v>27</v>
      </c>
      <c r="T225" s="2">
        <v>2268</v>
      </c>
      <c r="U225" s="3">
        <v>63</v>
      </c>
    </row>
    <row r="226" spans="3:21" x14ac:dyDescent="0.3">
      <c r="C226" t="s">
        <v>9</v>
      </c>
      <c r="D226" t="s">
        <v>38</v>
      </c>
      <c r="E226" t="s">
        <v>24</v>
      </c>
      <c r="F226" s="2">
        <v>4137</v>
      </c>
      <c r="G226" s="3">
        <v>60</v>
      </c>
      <c r="J226" t="s">
        <v>2</v>
      </c>
      <c r="K226" t="s">
        <v>39</v>
      </c>
      <c r="L226" t="s">
        <v>25</v>
      </c>
      <c r="M226" s="2">
        <v>1785</v>
      </c>
      <c r="N226" s="3">
        <v>462</v>
      </c>
      <c r="Q226" t="s">
        <v>9</v>
      </c>
      <c r="R226" t="s">
        <v>38</v>
      </c>
      <c r="S226" t="s">
        <v>24</v>
      </c>
      <c r="T226" s="2">
        <v>4137</v>
      </c>
      <c r="U226" s="3">
        <v>60</v>
      </c>
    </row>
    <row r="227" spans="3:21" x14ac:dyDescent="0.3">
      <c r="C227" t="s">
        <v>9</v>
      </c>
      <c r="D227" t="s">
        <v>36</v>
      </c>
      <c r="E227" t="s">
        <v>30</v>
      </c>
      <c r="F227" s="2">
        <v>9051</v>
      </c>
      <c r="G227" s="3">
        <v>57</v>
      </c>
      <c r="J227" t="s">
        <v>7</v>
      </c>
      <c r="K227" t="s">
        <v>38</v>
      </c>
      <c r="L227" t="s">
        <v>18</v>
      </c>
      <c r="M227" s="2">
        <v>1778</v>
      </c>
      <c r="N227" s="3">
        <v>270</v>
      </c>
      <c r="Q227" t="s">
        <v>9</v>
      </c>
      <c r="R227" t="s">
        <v>36</v>
      </c>
      <c r="S227" t="s">
        <v>30</v>
      </c>
      <c r="T227" s="2">
        <v>9051</v>
      </c>
      <c r="U227" s="3">
        <v>57</v>
      </c>
    </row>
    <row r="228" spans="3:21" x14ac:dyDescent="0.3">
      <c r="C228" t="s">
        <v>5</v>
      </c>
      <c r="D228" t="s">
        <v>38</v>
      </c>
      <c r="E228" t="s">
        <v>13</v>
      </c>
      <c r="F228" s="2">
        <v>7189</v>
      </c>
      <c r="G228" s="3">
        <v>54</v>
      </c>
      <c r="J228" t="s">
        <v>8</v>
      </c>
      <c r="K228" t="s">
        <v>37</v>
      </c>
      <c r="L228" t="s">
        <v>19</v>
      </c>
      <c r="M228" s="2">
        <v>1771</v>
      </c>
      <c r="N228" s="3">
        <v>204</v>
      </c>
      <c r="Q228" t="s">
        <v>6</v>
      </c>
      <c r="R228" t="s">
        <v>38</v>
      </c>
      <c r="S228" t="s">
        <v>31</v>
      </c>
      <c r="T228" s="2">
        <v>2681</v>
      </c>
      <c r="U228" s="3">
        <v>54</v>
      </c>
    </row>
    <row r="229" spans="3:21" x14ac:dyDescent="0.3">
      <c r="C229" t="s">
        <v>7</v>
      </c>
      <c r="D229" t="s">
        <v>37</v>
      </c>
      <c r="E229" t="s">
        <v>30</v>
      </c>
      <c r="F229" s="2">
        <v>6454</v>
      </c>
      <c r="G229" s="3">
        <v>54</v>
      </c>
      <c r="J229" t="s">
        <v>8</v>
      </c>
      <c r="K229" t="s">
        <v>38</v>
      </c>
      <c r="L229" t="s">
        <v>23</v>
      </c>
      <c r="M229" s="2">
        <v>1701</v>
      </c>
      <c r="N229" s="3">
        <v>234</v>
      </c>
      <c r="Q229" t="s">
        <v>2</v>
      </c>
      <c r="R229" t="s">
        <v>34</v>
      </c>
      <c r="S229" t="s">
        <v>13</v>
      </c>
      <c r="T229" s="2">
        <v>252</v>
      </c>
      <c r="U229" s="3">
        <v>54</v>
      </c>
    </row>
    <row r="230" spans="3:21" x14ac:dyDescent="0.3">
      <c r="C230" t="s">
        <v>3</v>
      </c>
      <c r="D230" t="s">
        <v>34</v>
      </c>
      <c r="E230" t="s">
        <v>26</v>
      </c>
      <c r="F230" s="2">
        <v>3108</v>
      </c>
      <c r="G230" s="3">
        <v>54</v>
      </c>
      <c r="J230" t="s">
        <v>5</v>
      </c>
      <c r="K230" t="s">
        <v>34</v>
      </c>
      <c r="L230" t="s">
        <v>33</v>
      </c>
      <c r="M230" s="2">
        <v>1652</v>
      </c>
      <c r="N230" s="3">
        <v>93</v>
      </c>
      <c r="Q230" t="s">
        <v>5</v>
      </c>
      <c r="R230" t="s">
        <v>38</v>
      </c>
      <c r="S230" t="s">
        <v>13</v>
      </c>
      <c r="T230" s="2">
        <v>7189</v>
      </c>
      <c r="U230" s="3">
        <v>54</v>
      </c>
    </row>
    <row r="231" spans="3:21" x14ac:dyDescent="0.3">
      <c r="C231" t="s">
        <v>6</v>
      </c>
      <c r="D231" t="s">
        <v>38</v>
      </c>
      <c r="E231" t="s">
        <v>31</v>
      </c>
      <c r="F231" s="2">
        <v>2681</v>
      </c>
      <c r="G231" s="3">
        <v>54</v>
      </c>
      <c r="J231" t="s">
        <v>3</v>
      </c>
      <c r="K231" t="s">
        <v>39</v>
      </c>
      <c r="L231" t="s">
        <v>28</v>
      </c>
      <c r="M231" s="2">
        <v>1652</v>
      </c>
      <c r="N231" s="3">
        <v>102</v>
      </c>
      <c r="Q231" t="s">
        <v>3</v>
      </c>
      <c r="R231" t="s">
        <v>34</v>
      </c>
      <c r="S231" t="s">
        <v>26</v>
      </c>
      <c r="T231" s="2">
        <v>3108</v>
      </c>
      <c r="U231" s="3">
        <v>54</v>
      </c>
    </row>
    <row r="232" spans="3:21" x14ac:dyDescent="0.3">
      <c r="C232" t="s">
        <v>2</v>
      </c>
      <c r="D232" t="s">
        <v>37</v>
      </c>
      <c r="E232" t="s">
        <v>14</v>
      </c>
      <c r="F232" s="2">
        <v>1057</v>
      </c>
      <c r="G232" s="3">
        <v>54</v>
      </c>
      <c r="J232" t="s">
        <v>40</v>
      </c>
      <c r="K232" t="s">
        <v>35</v>
      </c>
      <c r="L232" t="s">
        <v>24</v>
      </c>
      <c r="M232" s="2">
        <v>1638</v>
      </c>
      <c r="N232" s="3">
        <v>48</v>
      </c>
      <c r="Q232" t="s">
        <v>2</v>
      </c>
      <c r="R232" t="s">
        <v>37</v>
      </c>
      <c r="S232" t="s">
        <v>14</v>
      </c>
      <c r="T232" s="2">
        <v>1057</v>
      </c>
      <c r="U232" s="3">
        <v>54</v>
      </c>
    </row>
    <row r="233" spans="3:21" x14ac:dyDescent="0.3">
      <c r="C233" t="s">
        <v>2</v>
      </c>
      <c r="D233" t="s">
        <v>34</v>
      </c>
      <c r="E233" t="s">
        <v>13</v>
      </c>
      <c r="F233" s="2">
        <v>252</v>
      </c>
      <c r="G233" s="3">
        <v>54</v>
      </c>
      <c r="J233" t="s">
        <v>6</v>
      </c>
      <c r="K233" t="s">
        <v>39</v>
      </c>
      <c r="L233" t="s">
        <v>30</v>
      </c>
      <c r="M233" s="2">
        <v>1638</v>
      </c>
      <c r="N233" s="3">
        <v>63</v>
      </c>
      <c r="Q233" t="s">
        <v>7</v>
      </c>
      <c r="R233" t="s">
        <v>37</v>
      </c>
      <c r="S233" t="s">
        <v>30</v>
      </c>
      <c r="T233" s="2">
        <v>6454</v>
      </c>
      <c r="U233" s="3">
        <v>54</v>
      </c>
    </row>
    <row r="234" spans="3:21" x14ac:dyDescent="0.3">
      <c r="C234" t="s">
        <v>5</v>
      </c>
      <c r="D234" t="s">
        <v>39</v>
      </c>
      <c r="E234" t="s">
        <v>26</v>
      </c>
      <c r="F234" s="2">
        <v>5236</v>
      </c>
      <c r="G234" s="3">
        <v>51</v>
      </c>
      <c r="J234" t="s">
        <v>40</v>
      </c>
      <c r="K234" t="s">
        <v>37</v>
      </c>
      <c r="L234" t="s">
        <v>30</v>
      </c>
      <c r="M234" s="2">
        <v>1624</v>
      </c>
      <c r="N234" s="3">
        <v>114</v>
      </c>
      <c r="Q234" t="s">
        <v>2</v>
      </c>
      <c r="R234" t="s">
        <v>38</v>
      </c>
      <c r="S234" t="s">
        <v>13</v>
      </c>
      <c r="T234" s="2">
        <v>56</v>
      </c>
      <c r="U234" s="3">
        <v>51</v>
      </c>
    </row>
    <row r="235" spans="3:21" x14ac:dyDescent="0.3">
      <c r="C235" t="s">
        <v>3</v>
      </c>
      <c r="D235" t="s">
        <v>39</v>
      </c>
      <c r="E235" t="s">
        <v>29</v>
      </c>
      <c r="F235" s="2">
        <v>3640</v>
      </c>
      <c r="G235" s="3">
        <v>51</v>
      </c>
      <c r="J235" t="s">
        <v>40</v>
      </c>
      <c r="K235" t="s">
        <v>35</v>
      </c>
      <c r="L235" t="s">
        <v>29</v>
      </c>
      <c r="M235" s="2">
        <v>1617</v>
      </c>
      <c r="N235" s="3">
        <v>126</v>
      </c>
      <c r="Q235" t="s">
        <v>5</v>
      </c>
      <c r="R235" t="s">
        <v>39</v>
      </c>
      <c r="S235" t="s">
        <v>26</v>
      </c>
      <c r="T235" s="2">
        <v>5236</v>
      </c>
      <c r="U235" s="3">
        <v>51</v>
      </c>
    </row>
    <row r="236" spans="3:21" x14ac:dyDescent="0.3">
      <c r="C236" t="s">
        <v>40</v>
      </c>
      <c r="D236" t="s">
        <v>38</v>
      </c>
      <c r="E236" t="s">
        <v>24</v>
      </c>
      <c r="F236" s="2">
        <v>623</v>
      </c>
      <c r="G236" s="3">
        <v>51</v>
      </c>
      <c r="J236" t="s">
        <v>2</v>
      </c>
      <c r="K236" t="s">
        <v>35</v>
      </c>
      <c r="L236" t="s">
        <v>17</v>
      </c>
      <c r="M236" s="2">
        <v>1589</v>
      </c>
      <c r="N236" s="3">
        <v>303</v>
      </c>
      <c r="Q236" t="s">
        <v>40</v>
      </c>
      <c r="R236" t="s">
        <v>38</v>
      </c>
      <c r="S236" t="s">
        <v>24</v>
      </c>
      <c r="T236" s="2">
        <v>623</v>
      </c>
      <c r="U236" s="3">
        <v>51</v>
      </c>
    </row>
    <row r="237" spans="3:21" x14ac:dyDescent="0.3">
      <c r="C237" t="s">
        <v>2</v>
      </c>
      <c r="D237" t="s">
        <v>38</v>
      </c>
      <c r="E237" t="s">
        <v>13</v>
      </c>
      <c r="F237" s="2">
        <v>56</v>
      </c>
      <c r="G237" s="3">
        <v>51</v>
      </c>
      <c r="J237" t="s">
        <v>7</v>
      </c>
      <c r="K237" t="s">
        <v>34</v>
      </c>
      <c r="L237" t="s">
        <v>25</v>
      </c>
      <c r="M237" s="2">
        <v>1568</v>
      </c>
      <c r="N237" s="3">
        <v>96</v>
      </c>
      <c r="Q237" t="s">
        <v>3</v>
      </c>
      <c r="R237" t="s">
        <v>39</v>
      </c>
      <c r="S237" t="s">
        <v>29</v>
      </c>
      <c r="T237" s="2">
        <v>3640</v>
      </c>
      <c r="U237" s="3">
        <v>51</v>
      </c>
    </row>
    <row r="238" spans="3:21" x14ac:dyDescent="0.3">
      <c r="C238" t="s">
        <v>40</v>
      </c>
      <c r="D238" t="s">
        <v>34</v>
      </c>
      <c r="E238" t="s">
        <v>26</v>
      </c>
      <c r="F238" s="2">
        <v>6748</v>
      </c>
      <c r="G238" s="3">
        <v>48</v>
      </c>
      <c r="J238" t="s">
        <v>2</v>
      </c>
      <c r="K238" t="s">
        <v>39</v>
      </c>
      <c r="L238" t="s">
        <v>22</v>
      </c>
      <c r="M238" s="2">
        <v>1568</v>
      </c>
      <c r="N238" s="3">
        <v>141</v>
      </c>
      <c r="Q238" t="s">
        <v>5</v>
      </c>
      <c r="R238" t="s">
        <v>37</v>
      </c>
      <c r="S238" t="s">
        <v>31</v>
      </c>
      <c r="T238" s="2">
        <v>182</v>
      </c>
      <c r="U238" s="3">
        <v>48</v>
      </c>
    </row>
    <row r="239" spans="3:21" x14ac:dyDescent="0.3">
      <c r="C239" t="s">
        <v>7</v>
      </c>
      <c r="D239" t="s">
        <v>37</v>
      </c>
      <c r="E239" t="s">
        <v>33</v>
      </c>
      <c r="F239" s="2">
        <v>6391</v>
      </c>
      <c r="G239" s="3">
        <v>48</v>
      </c>
      <c r="J239" t="s">
        <v>8</v>
      </c>
      <c r="K239" t="s">
        <v>39</v>
      </c>
      <c r="L239" t="s">
        <v>26</v>
      </c>
      <c r="M239" s="2">
        <v>1561</v>
      </c>
      <c r="N239" s="3">
        <v>27</v>
      </c>
      <c r="Q239" t="s">
        <v>7</v>
      </c>
      <c r="R239" t="s">
        <v>34</v>
      </c>
      <c r="S239" t="s">
        <v>33</v>
      </c>
      <c r="T239" s="2">
        <v>2226</v>
      </c>
      <c r="U239" s="3">
        <v>48</v>
      </c>
    </row>
    <row r="240" spans="3:21" x14ac:dyDescent="0.3">
      <c r="C240" t="s">
        <v>7</v>
      </c>
      <c r="D240" t="s">
        <v>34</v>
      </c>
      <c r="E240" t="s">
        <v>33</v>
      </c>
      <c r="F240" s="2">
        <v>2226</v>
      </c>
      <c r="G240" s="3">
        <v>48</v>
      </c>
      <c r="J240" t="s">
        <v>5</v>
      </c>
      <c r="K240" t="s">
        <v>36</v>
      </c>
      <c r="L240" t="s">
        <v>30</v>
      </c>
      <c r="M240" s="2">
        <v>1526</v>
      </c>
      <c r="N240" s="3">
        <v>105</v>
      </c>
      <c r="Q240" t="s">
        <v>40</v>
      </c>
      <c r="R240" t="s">
        <v>34</v>
      </c>
      <c r="S240" t="s">
        <v>26</v>
      </c>
      <c r="T240" s="2">
        <v>6748</v>
      </c>
      <c r="U240" s="3">
        <v>48</v>
      </c>
    </row>
    <row r="241" spans="3:21" x14ac:dyDescent="0.3">
      <c r="C241" t="s">
        <v>40</v>
      </c>
      <c r="D241" t="s">
        <v>35</v>
      </c>
      <c r="E241" t="s">
        <v>24</v>
      </c>
      <c r="F241" s="2">
        <v>1638</v>
      </c>
      <c r="G241" s="3">
        <v>48</v>
      </c>
      <c r="J241" t="s">
        <v>41</v>
      </c>
      <c r="K241" t="s">
        <v>37</v>
      </c>
      <c r="L241" t="s">
        <v>30</v>
      </c>
      <c r="M241" s="2">
        <v>1526</v>
      </c>
      <c r="N241" s="3">
        <v>240</v>
      </c>
      <c r="Q241" t="s">
        <v>6</v>
      </c>
      <c r="R241" t="s">
        <v>34</v>
      </c>
      <c r="S241" t="s">
        <v>4</v>
      </c>
      <c r="T241" s="2">
        <v>525</v>
      </c>
      <c r="U241" s="3">
        <v>48</v>
      </c>
    </row>
    <row r="242" spans="3:21" x14ac:dyDescent="0.3">
      <c r="C242" t="s">
        <v>6</v>
      </c>
      <c r="D242" t="s">
        <v>34</v>
      </c>
      <c r="E242" t="s">
        <v>4</v>
      </c>
      <c r="F242" s="2">
        <v>525</v>
      </c>
      <c r="G242" s="3">
        <v>48</v>
      </c>
      <c r="J242" t="s">
        <v>6</v>
      </c>
      <c r="K242" t="s">
        <v>37</v>
      </c>
      <c r="L242" t="s">
        <v>18</v>
      </c>
      <c r="M242" s="2">
        <v>1505</v>
      </c>
      <c r="N242" s="3">
        <v>102</v>
      </c>
      <c r="Q242" t="s">
        <v>7</v>
      </c>
      <c r="R242" t="s">
        <v>37</v>
      </c>
      <c r="S242" t="s">
        <v>33</v>
      </c>
      <c r="T242" s="2">
        <v>6391</v>
      </c>
      <c r="U242" s="3">
        <v>48</v>
      </c>
    </row>
    <row r="243" spans="3:21" x14ac:dyDescent="0.3">
      <c r="C243" t="s">
        <v>2</v>
      </c>
      <c r="D243" t="s">
        <v>36</v>
      </c>
      <c r="E243" t="s">
        <v>17</v>
      </c>
      <c r="F243" s="2">
        <v>189</v>
      </c>
      <c r="G243" s="3">
        <v>48</v>
      </c>
      <c r="J243" t="s">
        <v>41</v>
      </c>
      <c r="K243" t="s">
        <v>34</v>
      </c>
      <c r="L243" t="s">
        <v>17</v>
      </c>
      <c r="M243" s="2">
        <v>1463</v>
      </c>
      <c r="N243" s="3">
        <v>39</v>
      </c>
      <c r="Q243" t="s">
        <v>2</v>
      </c>
      <c r="R243" t="s">
        <v>36</v>
      </c>
      <c r="S243" t="s">
        <v>17</v>
      </c>
      <c r="T243" s="2">
        <v>189</v>
      </c>
      <c r="U243" s="3">
        <v>48</v>
      </c>
    </row>
    <row r="244" spans="3:21" x14ac:dyDescent="0.3">
      <c r="C244" t="s">
        <v>5</v>
      </c>
      <c r="D244" t="s">
        <v>37</v>
      </c>
      <c r="E244" t="s">
        <v>31</v>
      </c>
      <c r="F244" s="2">
        <v>182</v>
      </c>
      <c r="G244" s="3">
        <v>48</v>
      </c>
      <c r="J244" t="s">
        <v>6</v>
      </c>
      <c r="K244" t="s">
        <v>34</v>
      </c>
      <c r="L244" t="s">
        <v>15</v>
      </c>
      <c r="M244" s="2">
        <v>1442</v>
      </c>
      <c r="N244" s="3">
        <v>15</v>
      </c>
      <c r="Q244" t="s">
        <v>40</v>
      </c>
      <c r="R244" t="s">
        <v>35</v>
      </c>
      <c r="S244" t="s">
        <v>24</v>
      </c>
      <c r="T244" s="2">
        <v>1638</v>
      </c>
      <c r="U244" s="3">
        <v>48</v>
      </c>
    </row>
    <row r="245" spans="3:21" x14ac:dyDescent="0.3">
      <c r="C245" t="s">
        <v>5</v>
      </c>
      <c r="D245" t="s">
        <v>38</v>
      </c>
      <c r="E245" t="s">
        <v>25</v>
      </c>
      <c r="F245" s="2">
        <v>7483</v>
      </c>
      <c r="G245" s="3">
        <v>45</v>
      </c>
      <c r="J245" t="s">
        <v>10</v>
      </c>
      <c r="K245" t="s">
        <v>34</v>
      </c>
      <c r="L245" t="s">
        <v>25</v>
      </c>
      <c r="M245" s="2">
        <v>1428</v>
      </c>
      <c r="N245" s="3">
        <v>93</v>
      </c>
      <c r="Q245" t="s">
        <v>8</v>
      </c>
      <c r="R245" t="s">
        <v>37</v>
      </c>
      <c r="S245" t="s">
        <v>26</v>
      </c>
      <c r="T245" s="2">
        <v>6279</v>
      </c>
      <c r="U245" s="3">
        <v>45</v>
      </c>
    </row>
    <row r="246" spans="3:21" x14ac:dyDescent="0.3">
      <c r="C246" t="s">
        <v>8</v>
      </c>
      <c r="D246" t="s">
        <v>37</v>
      </c>
      <c r="E246" t="s">
        <v>26</v>
      </c>
      <c r="F246" s="2">
        <v>6279</v>
      </c>
      <c r="G246" s="3">
        <v>45</v>
      </c>
      <c r="J246" t="s">
        <v>10</v>
      </c>
      <c r="K246" t="s">
        <v>36</v>
      </c>
      <c r="L246" t="s">
        <v>27</v>
      </c>
      <c r="M246" s="2">
        <v>1407</v>
      </c>
      <c r="N246" s="3">
        <v>72</v>
      </c>
      <c r="Q246" t="s">
        <v>40</v>
      </c>
      <c r="R246" t="s">
        <v>38</v>
      </c>
      <c r="S246" t="s">
        <v>29</v>
      </c>
      <c r="T246" s="2">
        <v>2541</v>
      </c>
      <c r="U246" s="3">
        <v>45</v>
      </c>
    </row>
    <row r="247" spans="3:21" x14ac:dyDescent="0.3">
      <c r="C247" t="s">
        <v>9</v>
      </c>
      <c r="D247" t="s">
        <v>37</v>
      </c>
      <c r="E247" t="s">
        <v>28</v>
      </c>
      <c r="F247" s="2">
        <v>2919</v>
      </c>
      <c r="G247" s="3">
        <v>45</v>
      </c>
      <c r="J247" t="s">
        <v>6</v>
      </c>
      <c r="K247" t="s">
        <v>36</v>
      </c>
      <c r="L247" t="s">
        <v>29</v>
      </c>
      <c r="M247" s="2">
        <v>1400</v>
      </c>
      <c r="N247" s="3">
        <v>135</v>
      </c>
      <c r="Q247" t="s">
        <v>9</v>
      </c>
      <c r="R247" t="s">
        <v>37</v>
      </c>
      <c r="S247" t="s">
        <v>28</v>
      </c>
      <c r="T247" s="2">
        <v>2919</v>
      </c>
      <c r="U247" s="3">
        <v>45</v>
      </c>
    </row>
    <row r="248" spans="3:21" x14ac:dyDescent="0.3">
      <c r="C248" t="s">
        <v>40</v>
      </c>
      <c r="D248" t="s">
        <v>38</v>
      </c>
      <c r="E248" t="s">
        <v>29</v>
      </c>
      <c r="F248" s="2">
        <v>2541</v>
      </c>
      <c r="G248" s="3">
        <v>45</v>
      </c>
      <c r="J248" t="s">
        <v>6</v>
      </c>
      <c r="K248" t="s">
        <v>35</v>
      </c>
      <c r="L248" t="s">
        <v>4</v>
      </c>
      <c r="M248" s="2">
        <v>1302</v>
      </c>
      <c r="N248" s="3">
        <v>402</v>
      </c>
      <c r="Q248" t="s">
        <v>5</v>
      </c>
      <c r="R248" t="s">
        <v>38</v>
      </c>
      <c r="S248" t="s">
        <v>25</v>
      </c>
      <c r="T248" s="2">
        <v>7483</v>
      </c>
      <c r="U248" s="3">
        <v>45</v>
      </c>
    </row>
    <row r="249" spans="3:21" x14ac:dyDescent="0.3">
      <c r="C249" t="s">
        <v>7</v>
      </c>
      <c r="D249" t="s">
        <v>36</v>
      </c>
      <c r="E249" t="s">
        <v>22</v>
      </c>
      <c r="F249" s="2">
        <v>8435</v>
      </c>
      <c r="G249" s="3">
        <v>42</v>
      </c>
      <c r="J249" t="s">
        <v>3</v>
      </c>
      <c r="K249" t="s">
        <v>36</v>
      </c>
      <c r="L249" t="s">
        <v>19</v>
      </c>
      <c r="M249" s="2">
        <v>1281</v>
      </c>
      <c r="N249" s="3">
        <v>18</v>
      </c>
      <c r="Q249" t="s">
        <v>7</v>
      </c>
      <c r="R249" t="s">
        <v>36</v>
      </c>
      <c r="S249" t="s">
        <v>22</v>
      </c>
      <c r="T249" s="2">
        <v>8435</v>
      </c>
      <c r="U249" s="3">
        <v>42</v>
      </c>
    </row>
    <row r="250" spans="3:21" x14ac:dyDescent="0.3">
      <c r="C250" t="s">
        <v>3</v>
      </c>
      <c r="D250" t="s">
        <v>34</v>
      </c>
      <c r="E250" t="s">
        <v>25</v>
      </c>
      <c r="F250" s="2">
        <v>6300</v>
      </c>
      <c r="G250" s="3">
        <v>42</v>
      </c>
      <c r="J250" t="s">
        <v>7</v>
      </c>
      <c r="K250" t="s">
        <v>38</v>
      </c>
      <c r="L250" t="s">
        <v>14</v>
      </c>
      <c r="M250" s="2">
        <v>1281</v>
      </c>
      <c r="N250" s="3">
        <v>75</v>
      </c>
      <c r="Q250" t="s">
        <v>3</v>
      </c>
      <c r="R250" t="s">
        <v>34</v>
      </c>
      <c r="S250" t="s">
        <v>25</v>
      </c>
      <c r="T250" s="2">
        <v>6300</v>
      </c>
      <c r="U250" s="3">
        <v>42</v>
      </c>
    </row>
    <row r="251" spans="3:21" x14ac:dyDescent="0.3">
      <c r="C251" t="s">
        <v>40</v>
      </c>
      <c r="D251" t="s">
        <v>39</v>
      </c>
      <c r="E251" t="s">
        <v>15</v>
      </c>
      <c r="F251" s="2">
        <v>5775</v>
      </c>
      <c r="G251" s="3">
        <v>42</v>
      </c>
      <c r="J251" t="s">
        <v>41</v>
      </c>
      <c r="K251" t="s">
        <v>34</v>
      </c>
      <c r="L251" t="s">
        <v>16</v>
      </c>
      <c r="M251" s="2">
        <v>1274</v>
      </c>
      <c r="N251" s="3">
        <v>225</v>
      </c>
      <c r="Q251" t="s">
        <v>40</v>
      </c>
      <c r="R251" t="s">
        <v>39</v>
      </c>
      <c r="S251" t="s">
        <v>15</v>
      </c>
      <c r="T251" s="2">
        <v>5775</v>
      </c>
      <c r="U251" s="3">
        <v>42</v>
      </c>
    </row>
    <row r="252" spans="3:21" x14ac:dyDescent="0.3">
      <c r="C252" t="s">
        <v>2</v>
      </c>
      <c r="D252" t="s">
        <v>37</v>
      </c>
      <c r="E252" t="s">
        <v>15</v>
      </c>
      <c r="F252" s="2">
        <v>2863</v>
      </c>
      <c r="G252" s="3">
        <v>42</v>
      </c>
      <c r="J252" t="s">
        <v>6</v>
      </c>
      <c r="K252" t="s">
        <v>38</v>
      </c>
      <c r="L252" t="s">
        <v>27</v>
      </c>
      <c r="M252" s="2">
        <v>1134</v>
      </c>
      <c r="N252" s="3">
        <v>282</v>
      </c>
      <c r="Q252" t="s">
        <v>2</v>
      </c>
      <c r="R252" t="s">
        <v>37</v>
      </c>
      <c r="S252" t="s">
        <v>15</v>
      </c>
      <c r="T252" s="2">
        <v>2863</v>
      </c>
      <c r="U252" s="3">
        <v>42</v>
      </c>
    </row>
    <row r="253" spans="3:21" x14ac:dyDescent="0.3">
      <c r="C253" t="s">
        <v>5</v>
      </c>
      <c r="D253" t="s">
        <v>36</v>
      </c>
      <c r="E253" t="s">
        <v>16</v>
      </c>
      <c r="F253" s="2">
        <v>16184</v>
      </c>
      <c r="G253" s="3">
        <v>39</v>
      </c>
      <c r="J253" t="s">
        <v>9</v>
      </c>
      <c r="K253" t="s">
        <v>37</v>
      </c>
      <c r="L253" t="s">
        <v>29</v>
      </c>
      <c r="M253" s="2">
        <v>1085</v>
      </c>
      <c r="N253" s="3">
        <v>273</v>
      </c>
      <c r="Q253" t="s">
        <v>5</v>
      </c>
      <c r="R253" t="s">
        <v>36</v>
      </c>
      <c r="S253" t="s">
        <v>16</v>
      </c>
      <c r="T253" s="2">
        <v>16184</v>
      </c>
      <c r="U253" s="3">
        <v>39</v>
      </c>
    </row>
    <row r="254" spans="3:21" x14ac:dyDescent="0.3">
      <c r="C254" t="s">
        <v>7</v>
      </c>
      <c r="D254" t="s">
        <v>34</v>
      </c>
      <c r="E254" t="s">
        <v>17</v>
      </c>
      <c r="F254" s="2">
        <v>7777</v>
      </c>
      <c r="G254" s="3">
        <v>39</v>
      </c>
      <c r="J254" t="s">
        <v>6</v>
      </c>
      <c r="K254" t="s">
        <v>35</v>
      </c>
      <c r="L254" t="s">
        <v>20</v>
      </c>
      <c r="M254" s="2">
        <v>1071</v>
      </c>
      <c r="N254" s="3">
        <v>270</v>
      </c>
      <c r="Q254" t="s">
        <v>41</v>
      </c>
      <c r="R254" t="s">
        <v>34</v>
      </c>
      <c r="S254" t="s">
        <v>17</v>
      </c>
      <c r="T254" s="2">
        <v>1463</v>
      </c>
      <c r="U254" s="3">
        <v>39</v>
      </c>
    </row>
    <row r="255" spans="3:21" x14ac:dyDescent="0.3">
      <c r="C255" t="s">
        <v>3</v>
      </c>
      <c r="D255" t="s">
        <v>36</v>
      </c>
      <c r="E255" t="s">
        <v>25</v>
      </c>
      <c r="F255" s="2">
        <v>3339</v>
      </c>
      <c r="G255" s="3">
        <v>39</v>
      </c>
      <c r="J255" t="s">
        <v>2</v>
      </c>
      <c r="K255" t="s">
        <v>37</v>
      </c>
      <c r="L255" t="s">
        <v>14</v>
      </c>
      <c r="M255" s="2">
        <v>1057</v>
      </c>
      <c r="N255" s="3">
        <v>54</v>
      </c>
      <c r="Q255" t="s">
        <v>3</v>
      </c>
      <c r="R255" t="s">
        <v>36</v>
      </c>
      <c r="S255" t="s">
        <v>25</v>
      </c>
      <c r="T255" s="2">
        <v>3339</v>
      </c>
      <c r="U255" s="3">
        <v>39</v>
      </c>
    </row>
    <row r="256" spans="3:21" x14ac:dyDescent="0.3">
      <c r="C256" t="s">
        <v>40</v>
      </c>
      <c r="D256" t="s">
        <v>38</v>
      </c>
      <c r="E256" t="s">
        <v>31</v>
      </c>
      <c r="F256" s="2">
        <v>1988</v>
      </c>
      <c r="G256" s="3">
        <v>39</v>
      </c>
      <c r="J256" t="s">
        <v>3</v>
      </c>
      <c r="K256" t="s">
        <v>36</v>
      </c>
      <c r="L256" t="s">
        <v>28</v>
      </c>
      <c r="M256" s="2">
        <v>973</v>
      </c>
      <c r="N256" s="3">
        <v>162</v>
      </c>
      <c r="Q256" t="s">
        <v>7</v>
      </c>
      <c r="R256" t="s">
        <v>34</v>
      </c>
      <c r="S256" t="s">
        <v>17</v>
      </c>
      <c r="T256" s="2">
        <v>7777</v>
      </c>
      <c r="U256" s="3">
        <v>39</v>
      </c>
    </row>
    <row r="257" spans="3:21" x14ac:dyDescent="0.3">
      <c r="C257" t="s">
        <v>41</v>
      </c>
      <c r="D257" t="s">
        <v>34</v>
      </c>
      <c r="E257" t="s">
        <v>17</v>
      </c>
      <c r="F257" s="2">
        <v>1463</v>
      </c>
      <c r="G257" s="3">
        <v>39</v>
      </c>
      <c r="J257" t="s">
        <v>7</v>
      </c>
      <c r="K257" t="s">
        <v>39</v>
      </c>
      <c r="L257" t="s">
        <v>27</v>
      </c>
      <c r="M257" s="2">
        <v>966</v>
      </c>
      <c r="N257" s="3">
        <v>198</v>
      </c>
      <c r="Q257" t="s">
        <v>40</v>
      </c>
      <c r="R257" t="s">
        <v>38</v>
      </c>
      <c r="S257" t="s">
        <v>31</v>
      </c>
      <c r="T257" s="2">
        <v>1988</v>
      </c>
      <c r="U257" s="3">
        <v>39</v>
      </c>
    </row>
    <row r="258" spans="3:21" x14ac:dyDescent="0.3">
      <c r="C258" t="s">
        <v>3</v>
      </c>
      <c r="D258" t="s">
        <v>36</v>
      </c>
      <c r="E258" t="s">
        <v>16</v>
      </c>
      <c r="F258" s="2">
        <v>9198</v>
      </c>
      <c r="G258" s="3">
        <v>36</v>
      </c>
      <c r="J258" t="s">
        <v>6</v>
      </c>
      <c r="K258" t="s">
        <v>38</v>
      </c>
      <c r="L258" t="s">
        <v>33</v>
      </c>
      <c r="M258" s="2">
        <v>959</v>
      </c>
      <c r="N258" s="3">
        <v>135</v>
      </c>
      <c r="Q258" t="s">
        <v>3</v>
      </c>
      <c r="R258" t="s">
        <v>36</v>
      </c>
      <c r="S258" t="s">
        <v>16</v>
      </c>
      <c r="T258" s="2">
        <v>9198</v>
      </c>
      <c r="U258" s="3">
        <v>36</v>
      </c>
    </row>
    <row r="259" spans="3:21" x14ac:dyDescent="0.3">
      <c r="C259" t="s">
        <v>6</v>
      </c>
      <c r="D259" t="s">
        <v>38</v>
      </c>
      <c r="E259" t="s">
        <v>21</v>
      </c>
      <c r="F259" s="2">
        <v>7322</v>
      </c>
      <c r="G259" s="3">
        <v>36</v>
      </c>
      <c r="J259" t="s">
        <v>9</v>
      </c>
      <c r="K259" t="s">
        <v>35</v>
      </c>
      <c r="L259" t="s">
        <v>4</v>
      </c>
      <c r="M259" s="2">
        <v>959</v>
      </c>
      <c r="N259" s="3">
        <v>147</v>
      </c>
      <c r="Q259" t="s">
        <v>6</v>
      </c>
      <c r="R259" t="s">
        <v>38</v>
      </c>
      <c r="S259" t="s">
        <v>21</v>
      </c>
      <c r="T259" s="2">
        <v>7322</v>
      </c>
      <c r="U259" s="3">
        <v>36</v>
      </c>
    </row>
    <row r="260" spans="3:21" x14ac:dyDescent="0.3">
      <c r="C260" t="s">
        <v>2</v>
      </c>
      <c r="D260" t="s">
        <v>39</v>
      </c>
      <c r="E260" t="s">
        <v>15</v>
      </c>
      <c r="F260" s="2">
        <v>4802</v>
      </c>
      <c r="G260" s="3">
        <v>36</v>
      </c>
      <c r="J260" t="s">
        <v>10</v>
      </c>
      <c r="K260" t="s">
        <v>36</v>
      </c>
      <c r="L260" t="s">
        <v>13</v>
      </c>
      <c r="M260" s="2">
        <v>945</v>
      </c>
      <c r="N260" s="3">
        <v>75</v>
      </c>
      <c r="Q260" t="s">
        <v>2</v>
      </c>
      <c r="R260" t="s">
        <v>39</v>
      </c>
      <c r="S260" t="s">
        <v>15</v>
      </c>
      <c r="T260" s="2">
        <v>4802</v>
      </c>
      <c r="U260" s="3">
        <v>36</v>
      </c>
    </row>
    <row r="261" spans="3:21" x14ac:dyDescent="0.3">
      <c r="C261" t="s">
        <v>2</v>
      </c>
      <c r="D261" t="s">
        <v>39</v>
      </c>
      <c r="E261" t="s">
        <v>23</v>
      </c>
      <c r="F261" s="2">
        <v>630</v>
      </c>
      <c r="G261" s="3">
        <v>36</v>
      </c>
      <c r="J261" t="s">
        <v>6</v>
      </c>
      <c r="K261" t="s">
        <v>38</v>
      </c>
      <c r="L261" t="s">
        <v>16</v>
      </c>
      <c r="M261" s="2">
        <v>938</v>
      </c>
      <c r="N261" s="3">
        <v>6</v>
      </c>
      <c r="Q261" t="s">
        <v>40</v>
      </c>
      <c r="R261" t="s">
        <v>36</v>
      </c>
      <c r="S261" t="s">
        <v>4</v>
      </c>
      <c r="T261" s="2">
        <v>217</v>
      </c>
      <c r="U261" s="3">
        <v>36</v>
      </c>
    </row>
    <row r="262" spans="3:21" x14ac:dyDescent="0.3">
      <c r="C262" t="s">
        <v>40</v>
      </c>
      <c r="D262" t="s">
        <v>36</v>
      </c>
      <c r="E262" t="s">
        <v>4</v>
      </c>
      <c r="F262" s="2">
        <v>217</v>
      </c>
      <c r="G262" s="3">
        <v>36</v>
      </c>
      <c r="J262" t="s">
        <v>9</v>
      </c>
      <c r="K262" t="s">
        <v>34</v>
      </c>
      <c r="L262" t="s">
        <v>16</v>
      </c>
      <c r="M262" s="2">
        <v>938</v>
      </c>
      <c r="N262" s="3">
        <v>189</v>
      </c>
      <c r="Q262" t="s">
        <v>2</v>
      </c>
      <c r="R262" t="s">
        <v>39</v>
      </c>
      <c r="S262" t="s">
        <v>23</v>
      </c>
      <c r="T262" s="2">
        <v>630</v>
      </c>
      <c r="U262" s="3">
        <v>36</v>
      </c>
    </row>
    <row r="263" spans="3:21" x14ac:dyDescent="0.3">
      <c r="C263" t="s">
        <v>10</v>
      </c>
      <c r="D263" t="s">
        <v>39</v>
      </c>
      <c r="E263" t="s">
        <v>33</v>
      </c>
      <c r="F263" s="2">
        <v>12950</v>
      </c>
      <c r="G263" s="3">
        <v>30</v>
      </c>
      <c r="J263" t="s">
        <v>3</v>
      </c>
      <c r="K263" t="s">
        <v>37</v>
      </c>
      <c r="L263" t="s">
        <v>4</v>
      </c>
      <c r="M263" s="2">
        <v>938</v>
      </c>
      <c r="N263" s="3">
        <v>366</v>
      </c>
      <c r="Q263" t="s">
        <v>10</v>
      </c>
      <c r="R263" t="s">
        <v>37</v>
      </c>
      <c r="S263" t="s">
        <v>23</v>
      </c>
      <c r="T263" s="2">
        <v>4683</v>
      </c>
      <c r="U263" s="3">
        <v>30</v>
      </c>
    </row>
    <row r="264" spans="3:21" x14ac:dyDescent="0.3">
      <c r="C264" t="s">
        <v>8</v>
      </c>
      <c r="D264" t="s">
        <v>37</v>
      </c>
      <c r="E264" t="s">
        <v>15</v>
      </c>
      <c r="F264" s="2">
        <v>9709</v>
      </c>
      <c r="G264" s="3">
        <v>30</v>
      </c>
      <c r="J264" t="s">
        <v>5</v>
      </c>
      <c r="K264" t="s">
        <v>34</v>
      </c>
      <c r="L264" t="s">
        <v>19</v>
      </c>
      <c r="M264" s="2">
        <v>861</v>
      </c>
      <c r="N264" s="3">
        <v>195</v>
      </c>
      <c r="Q264" t="s">
        <v>40</v>
      </c>
      <c r="R264" t="s">
        <v>36</v>
      </c>
      <c r="S264" t="s">
        <v>25</v>
      </c>
      <c r="T264" s="2">
        <v>5439</v>
      </c>
      <c r="U264" s="3">
        <v>30</v>
      </c>
    </row>
    <row r="265" spans="3:21" x14ac:dyDescent="0.3">
      <c r="C265" t="s">
        <v>40</v>
      </c>
      <c r="D265" t="s">
        <v>39</v>
      </c>
      <c r="E265" t="s">
        <v>27</v>
      </c>
      <c r="F265" s="2">
        <v>6370</v>
      </c>
      <c r="G265" s="3">
        <v>30</v>
      </c>
      <c r="J265" t="s">
        <v>41</v>
      </c>
      <c r="K265" t="s">
        <v>36</v>
      </c>
      <c r="L265" t="s">
        <v>28</v>
      </c>
      <c r="M265" s="2">
        <v>854</v>
      </c>
      <c r="N265" s="3">
        <v>309</v>
      </c>
      <c r="Q265" t="s">
        <v>8</v>
      </c>
      <c r="R265" t="s">
        <v>37</v>
      </c>
      <c r="S265" t="s">
        <v>15</v>
      </c>
      <c r="T265" s="2">
        <v>9709</v>
      </c>
      <c r="U265" s="3">
        <v>30</v>
      </c>
    </row>
    <row r="266" spans="3:21" x14ac:dyDescent="0.3">
      <c r="C266" t="s">
        <v>40</v>
      </c>
      <c r="D266" t="s">
        <v>36</v>
      </c>
      <c r="E266" t="s">
        <v>25</v>
      </c>
      <c r="F266" s="2">
        <v>5439</v>
      </c>
      <c r="G266" s="3">
        <v>30</v>
      </c>
      <c r="J266" t="s">
        <v>41</v>
      </c>
      <c r="K266" t="s">
        <v>35</v>
      </c>
      <c r="L266" t="s">
        <v>27</v>
      </c>
      <c r="M266" s="2">
        <v>847</v>
      </c>
      <c r="N266" s="3">
        <v>129</v>
      </c>
      <c r="Q266" t="s">
        <v>10</v>
      </c>
      <c r="R266" t="s">
        <v>39</v>
      </c>
      <c r="S266" t="s">
        <v>33</v>
      </c>
      <c r="T266" s="2">
        <v>12950</v>
      </c>
      <c r="U266" s="3">
        <v>30</v>
      </c>
    </row>
    <row r="267" spans="3:21" x14ac:dyDescent="0.3">
      <c r="C267" t="s">
        <v>10</v>
      </c>
      <c r="D267" t="s">
        <v>37</v>
      </c>
      <c r="E267" t="s">
        <v>23</v>
      </c>
      <c r="F267" s="2">
        <v>4683</v>
      </c>
      <c r="G267" s="3">
        <v>30</v>
      </c>
      <c r="J267" t="s">
        <v>3</v>
      </c>
      <c r="K267" t="s">
        <v>35</v>
      </c>
      <c r="L267" t="s">
        <v>33</v>
      </c>
      <c r="M267" s="2">
        <v>819</v>
      </c>
      <c r="N267" s="3">
        <v>306</v>
      </c>
      <c r="Q267" t="s">
        <v>6</v>
      </c>
      <c r="R267" t="s">
        <v>36</v>
      </c>
      <c r="S267" t="s">
        <v>13</v>
      </c>
      <c r="T267" s="2">
        <v>4319</v>
      </c>
      <c r="U267" s="3">
        <v>30</v>
      </c>
    </row>
    <row r="268" spans="3:21" x14ac:dyDescent="0.3">
      <c r="C268" t="s">
        <v>6</v>
      </c>
      <c r="D268" t="s">
        <v>36</v>
      </c>
      <c r="E268" t="s">
        <v>13</v>
      </c>
      <c r="F268" s="2">
        <v>4319</v>
      </c>
      <c r="G268" s="3">
        <v>30</v>
      </c>
      <c r="J268" t="s">
        <v>8</v>
      </c>
      <c r="K268" t="s">
        <v>38</v>
      </c>
      <c r="L268" t="s">
        <v>13</v>
      </c>
      <c r="M268" s="2">
        <v>819</v>
      </c>
      <c r="N268" s="3">
        <v>510</v>
      </c>
      <c r="Q268" t="s">
        <v>40</v>
      </c>
      <c r="R268" t="s">
        <v>39</v>
      </c>
      <c r="S268" t="s">
        <v>27</v>
      </c>
      <c r="T268" s="2">
        <v>6370</v>
      </c>
      <c r="U268" s="3">
        <v>30</v>
      </c>
    </row>
    <row r="269" spans="3:21" x14ac:dyDescent="0.3">
      <c r="C269" t="s">
        <v>8</v>
      </c>
      <c r="D269" t="s">
        <v>39</v>
      </c>
      <c r="E269" t="s">
        <v>18</v>
      </c>
      <c r="F269" s="2">
        <v>9660</v>
      </c>
      <c r="G269" s="3">
        <v>27</v>
      </c>
      <c r="J269" t="s">
        <v>2</v>
      </c>
      <c r="K269" t="s">
        <v>36</v>
      </c>
      <c r="L269" t="s">
        <v>27</v>
      </c>
      <c r="M269" s="2">
        <v>798</v>
      </c>
      <c r="N269" s="3">
        <v>519</v>
      </c>
      <c r="Q269" t="s">
        <v>6</v>
      </c>
      <c r="R269" t="s">
        <v>39</v>
      </c>
      <c r="S269" t="s">
        <v>17</v>
      </c>
      <c r="T269" s="2">
        <v>6048</v>
      </c>
      <c r="U269" s="3">
        <v>27</v>
      </c>
    </row>
    <row r="270" spans="3:21" x14ac:dyDescent="0.3">
      <c r="C270" t="s">
        <v>9</v>
      </c>
      <c r="D270" t="s">
        <v>34</v>
      </c>
      <c r="E270" t="s">
        <v>21</v>
      </c>
      <c r="F270" s="2">
        <v>6832</v>
      </c>
      <c r="G270" s="3">
        <v>27</v>
      </c>
      <c r="J270" t="s">
        <v>41</v>
      </c>
      <c r="K270" t="s">
        <v>37</v>
      </c>
      <c r="L270" t="s">
        <v>15</v>
      </c>
      <c r="M270" s="2">
        <v>714</v>
      </c>
      <c r="N270" s="3">
        <v>231</v>
      </c>
      <c r="Q270" t="s">
        <v>9</v>
      </c>
      <c r="R270" t="s">
        <v>34</v>
      </c>
      <c r="S270" t="s">
        <v>21</v>
      </c>
      <c r="T270" s="2">
        <v>6832</v>
      </c>
      <c r="U270" s="3">
        <v>27</v>
      </c>
    </row>
    <row r="271" spans="3:21" x14ac:dyDescent="0.3">
      <c r="C271" t="s">
        <v>6</v>
      </c>
      <c r="D271" t="s">
        <v>39</v>
      </c>
      <c r="E271" t="s">
        <v>17</v>
      </c>
      <c r="F271" s="2">
        <v>6048</v>
      </c>
      <c r="G271" s="3">
        <v>27</v>
      </c>
      <c r="J271" t="s">
        <v>9</v>
      </c>
      <c r="K271" t="s">
        <v>34</v>
      </c>
      <c r="L271" t="s">
        <v>17</v>
      </c>
      <c r="M271" s="2">
        <v>707</v>
      </c>
      <c r="N271" s="3">
        <v>174</v>
      </c>
      <c r="Q271" t="s">
        <v>7</v>
      </c>
      <c r="R271" t="s">
        <v>35</v>
      </c>
      <c r="S271" t="s">
        <v>16</v>
      </c>
      <c r="T271" s="2">
        <v>2135</v>
      </c>
      <c r="U271" s="3">
        <v>27</v>
      </c>
    </row>
    <row r="272" spans="3:21" x14ac:dyDescent="0.3">
      <c r="C272" t="s">
        <v>10</v>
      </c>
      <c r="D272" t="s">
        <v>37</v>
      </c>
      <c r="E272" t="s">
        <v>28</v>
      </c>
      <c r="F272" s="2">
        <v>3059</v>
      </c>
      <c r="G272" s="3">
        <v>27</v>
      </c>
      <c r="J272" t="s">
        <v>10</v>
      </c>
      <c r="K272" t="s">
        <v>34</v>
      </c>
      <c r="L272" t="s">
        <v>17</v>
      </c>
      <c r="M272" s="2">
        <v>700</v>
      </c>
      <c r="N272" s="3">
        <v>87</v>
      </c>
      <c r="Q272" t="s">
        <v>8</v>
      </c>
      <c r="R272" t="s">
        <v>39</v>
      </c>
      <c r="S272" t="s">
        <v>26</v>
      </c>
      <c r="T272" s="2">
        <v>1561</v>
      </c>
      <c r="U272" s="3">
        <v>27</v>
      </c>
    </row>
    <row r="273" spans="3:21" x14ac:dyDescent="0.3">
      <c r="C273" t="s">
        <v>7</v>
      </c>
      <c r="D273" t="s">
        <v>35</v>
      </c>
      <c r="E273" t="s">
        <v>16</v>
      </c>
      <c r="F273" s="2">
        <v>2135</v>
      </c>
      <c r="G273" s="3">
        <v>27</v>
      </c>
      <c r="J273" t="s">
        <v>2</v>
      </c>
      <c r="K273" t="s">
        <v>39</v>
      </c>
      <c r="L273" t="s">
        <v>23</v>
      </c>
      <c r="M273" s="2">
        <v>630</v>
      </c>
      <c r="N273" s="3">
        <v>36</v>
      </c>
      <c r="Q273" t="s">
        <v>10</v>
      </c>
      <c r="R273" t="s">
        <v>37</v>
      </c>
      <c r="S273" t="s">
        <v>28</v>
      </c>
      <c r="T273" s="2">
        <v>3059</v>
      </c>
      <c r="U273" s="3">
        <v>27</v>
      </c>
    </row>
    <row r="274" spans="3:21" x14ac:dyDescent="0.3">
      <c r="C274" t="s">
        <v>8</v>
      </c>
      <c r="D274" t="s">
        <v>39</v>
      </c>
      <c r="E274" t="s">
        <v>26</v>
      </c>
      <c r="F274" s="2">
        <v>1561</v>
      </c>
      <c r="G274" s="3">
        <v>27</v>
      </c>
      <c r="J274" t="s">
        <v>40</v>
      </c>
      <c r="K274" t="s">
        <v>38</v>
      </c>
      <c r="L274" t="s">
        <v>24</v>
      </c>
      <c r="M274" s="2">
        <v>623</v>
      </c>
      <c r="N274" s="3">
        <v>51</v>
      </c>
      <c r="Q274" t="s">
        <v>8</v>
      </c>
      <c r="R274" t="s">
        <v>39</v>
      </c>
      <c r="S274" t="s">
        <v>18</v>
      </c>
      <c r="T274" s="2">
        <v>9660</v>
      </c>
      <c r="U274" s="3">
        <v>27</v>
      </c>
    </row>
    <row r="275" spans="3:21" x14ac:dyDescent="0.3">
      <c r="C275" t="s">
        <v>10</v>
      </c>
      <c r="D275" t="s">
        <v>34</v>
      </c>
      <c r="E275" t="s">
        <v>22</v>
      </c>
      <c r="F275" s="2">
        <v>4053</v>
      </c>
      <c r="G275" s="3">
        <v>24</v>
      </c>
      <c r="J275" t="s">
        <v>40</v>
      </c>
      <c r="K275" t="s">
        <v>38</v>
      </c>
      <c r="L275" t="s">
        <v>26</v>
      </c>
      <c r="M275" s="2">
        <v>609</v>
      </c>
      <c r="N275" s="3">
        <v>87</v>
      </c>
      <c r="Q275" t="s">
        <v>7</v>
      </c>
      <c r="R275" t="s">
        <v>34</v>
      </c>
      <c r="S275" t="s">
        <v>15</v>
      </c>
      <c r="T275" s="2">
        <v>3829</v>
      </c>
      <c r="U275" s="3">
        <v>24</v>
      </c>
    </row>
    <row r="276" spans="3:21" x14ac:dyDescent="0.3">
      <c r="C276" t="s">
        <v>7</v>
      </c>
      <c r="D276" t="s">
        <v>34</v>
      </c>
      <c r="E276" t="s">
        <v>15</v>
      </c>
      <c r="F276" s="2">
        <v>3829</v>
      </c>
      <c r="G276" s="3">
        <v>24</v>
      </c>
      <c r="J276" t="s">
        <v>41</v>
      </c>
      <c r="K276" t="s">
        <v>35</v>
      </c>
      <c r="L276" t="s">
        <v>19</v>
      </c>
      <c r="M276" s="2">
        <v>609</v>
      </c>
      <c r="N276" s="3">
        <v>99</v>
      </c>
      <c r="Q276" t="s">
        <v>10</v>
      </c>
      <c r="R276" t="s">
        <v>34</v>
      </c>
      <c r="S276" t="s">
        <v>22</v>
      </c>
      <c r="T276" s="2">
        <v>4053</v>
      </c>
      <c r="U276" s="3">
        <v>24</v>
      </c>
    </row>
    <row r="277" spans="3:21" x14ac:dyDescent="0.3">
      <c r="C277" t="s">
        <v>2</v>
      </c>
      <c r="D277" t="s">
        <v>36</v>
      </c>
      <c r="E277" t="s">
        <v>16</v>
      </c>
      <c r="F277" s="2">
        <v>11417</v>
      </c>
      <c r="G277" s="3">
        <v>21</v>
      </c>
      <c r="J277" t="s">
        <v>10</v>
      </c>
      <c r="K277" t="s">
        <v>35</v>
      </c>
      <c r="L277" t="s">
        <v>21</v>
      </c>
      <c r="M277" s="2">
        <v>567</v>
      </c>
      <c r="N277" s="3">
        <v>228</v>
      </c>
      <c r="Q277" t="s">
        <v>5</v>
      </c>
      <c r="R277" t="s">
        <v>34</v>
      </c>
      <c r="S277" t="s">
        <v>27</v>
      </c>
      <c r="T277" s="2">
        <v>6986</v>
      </c>
      <c r="U277" s="3">
        <v>21</v>
      </c>
    </row>
    <row r="278" spans="3:21" x14ac:dyDescent="0.3">
      <c r="C278" t="s">
        <v>5</v>
      </c>
      <c r="D278" t="s">
        <v>37</v>
      </c>
      <c r="E278" t="s">
        <v>25</v>
      </c>
      <c r="F278" s="2">
        <v>8813</v>
      </c>
      <c r="G278" s="3">
        <v>21</v>
      </c>
      <c r="J278" t="s">
        <v>6</v>
      </c>
      <c r="K278" t="s">
        <v>37</v>
      </c>
      <c r="L278" t="s">
        <v>30</v>
      </c>
      <c r="M278" s="2">
        <v>560</v>
      </c>
      <c r="N278" s="3">
        <v>81</v>
      </c>
      <c r="Q278" t="s">
        <v>5</v>
      </c>
      <c r="R278" t="s">
        <v>38</v>
      </c>
      <c r="S278" t="s">
        <v>32</v>
      </c>
      <c r="T278" s="2">
        <v>5075</v>
      </c>
      <c r="U278" s="3">
        <v>21</v>
      </c>
    </row>
    <row r="279" spans="3:21" x14ac:dyDescent="0.3">
      <c r="C279" t="s">
        <v>40</v>
      </c>
      <c r="D279" t="s">
        <v>37</v>
      </c>
      <c r="E279" t="s">
        <v>19</v>
      </c>
      <c r="F279" s="2">
        <v>7693</v>
      </c>
      <c r="G279" s="3">
        <v>21</v>
      </c>
      <c r="J279" t="s">
        <v>2</v>
      </c>
      <c r="K279" t="s">
        <v>35</v>
      </c>
      <c r="L279" t="s">
        <v>19</v>
      </c>
      <c r="M279" s="2">
        <v>553</v>
      </c>
      <c r="N279" s="3">
        <v>15</v>
      </c>
      <c r="Q279" t="s">
        <v>40</v>
      </c>
      <c r="R279" t="s">
        <v>37</v>
      </c>
      <c r="S279" t="s">
        <v>19</v>
      </c>
      <c r="T279" s="2">
        <v>7693</v>
      </c>
      <c r="U279" s="3">
        <v>21</v>
      </c>
    </row>
    <row r="280" spans="3:21" x14ac:dyDescent="0.3">
      <c r="C280" t="s">
        <v>5</v>
      </c>
      <c r="D280" t="s">
        <v>34</v>
      </c>
      <c r="E280" t="s">
        <v>27</v>
      </c>
      <c r="F280" s="2">
        <v>6986</v>
      </c>
      <c r="G280" s="3">
        <v>21</v>
      </c>
      <c r="J280" t="s">
        <v>6</v>
      </c>
      <c r="K280" t="s">
        <v>34</v>
      </c>
      <c r="L280" t="s">
        <v>4</v>
      </c>
      <c r="M280" s="2">
        <v>525</v>
      </c>
      <c r="N280" s="3">
        <v>48</v>
      </c>
      <c r="Q280" t="s">
        <v>2</v>
      </c>
      <c r="R280" t="s">
        <v>36</v>
      </c>
      <c r="S280" t="s">
        <v>16</v>
      </c>
      <c r="T280" s="2">
        <v>11417</v>
      </c>
      <c r="U280" s="3">
        <v>21</v>
      </c>
    </row>
    <row r="281" spans="3:21" x14ac:dyDescent="0.3">
      <c r="C281" t="s">
        <v>5</v>
      </c>
      <c r="D281" t="s">
        <v>38</v>
      </c>
      <c r="E281" t="s">
        <v>32</v>
      </c>
      <c r="F281" s="2">
        <v>5075</v>
      </c>
      <c r="G281" s="3">
        <v>21</v>
      </c>
      <c r="J281" t="s">
        <v>5</v>
      </c>
      <c r="K281" t="s">
        <v>37</v>
      </c>
      <c r="L281" t="s">
        <v>22</v>
      </c>
      <c r="M281" s="2">
        <v>518</v>
      </c>
      <c r="N281" s="3">
        <v>75</v>
      </c>
      <c r="Q281" t="s">
        <v>7</v>
      </c>
      <c r="R281" t="s">
        <v>35</v>
      </c>
      <c r="S281" t="s">
        <v>27</v>
      </c>
      <c r="T281" s="2">
        <v>2478</v>
      </c>
      <c r="U281" s="3">
        <v>21</v>
      </c>
    </row>
    <row r="282" spans="3:21" x14ac:dyDescent="0.3">
      <c r="C282" t="s">
        <v>7</v>
      </c>
      <c r="D282" t="s">
        <v>35</v>
      </c>
      <c r="E282" t="s">
        <v>27</v>
      </c>
      <c r="F282" s="2">
        <v>2478</v>
      </c>
      <c r="G282" s="3">
        <v>21</v>
      </c>
      <c r="J282" t="s">
        <v>6</v>
      </c>
      <c r="K282" t="s">
        <v>36</v>
      </c>
      <c r="L282" t="s">
        <v>21</v>
      </c>
      <c r="M282" s="2">
        <v>497</v>
      </c>
      <c r="N282" s="3">
        <v>63</v>
      </c>
      <c r="Q282" t="s">
        <v>41</v>
      </c>
      <c r="R282" t="s">
        <v>38</v>
      </c>
      <c r="S282" t="s">
        <v>25</v>
      </c>
      <c r="T282" s="2">
        <v>154</v>
      </c>
      <c r="U282" s="3">
        <v>21</v>
      </c>
    </row>
    <row r="283" spans="3:21" x14ac:dyDescent="0.3">
      <c r="C283" t="s">
        <v>41</v>
      </c>
      <c r="D283" t="s">
        <v>38</v>
      </c>
      <c r="E283" t="s">
        <v>25</v>
      </c>
      <c r="F283" s="2">
        <v>154</v>
      </c>
      <c r="G283" s="3">
        <v>21</v>
      </c>
      <c r="J283" t="s">
        <v>5</v>
      </c>
      <c r="K283" t="s">
        <v>35</v>
      </c>
      <c r="L283" t="s">
        <v>22</v>
      </c>
      <c r="M283" s="2">
        <v>490</v>
      </c>
      <c r="N283" s="3">
        <v>84</v>
      </c>
      <c r="Q283" t="s">
        <v>5</v>
      </c>
      <c r="R283" t="s">
        <v>37</v>
      </c>
      <c r="S283" t="s">
        <v>25</v>
      </c>
      <c r="T283" s="2">
        <v>8813</v>
      </c>
      <c r="U283" s="3">
        <v>21</v>
      </c>
    </row>
    <row r="284" spans="3:21" x14ac:dyDescent="0.3">
      <c r="C284" t="s">
        <v>3</v>
      </c>
      <c r="D284" t="s">
        <v>34</v>
      </c>
      <c r="E284" t="s">
        <v>20</v>
      </c>
      <c r="F284" s="2">
        <v>2583</v>
      </c>
      <c r="G284" s="3">
        <v>18</v>
      </c>
      <c r="J284" t="s">
        <v>6</v>
      </c>
      <c r="K284" t="s">
        <v>38</v>
      </c>
      <c r="L284" t="s">
        <v>25</v>
      </c>
      <c r="M284" s="2">
        <v>469</v>
      </c>
      <c r="N284" s="3">
        <v>75</v>
      </c>
      <c r="Q284" t="s">
        <v>2</v>
      </c>
      <c r="R284" t="s">
        <v>37</v>
      </c>
      <c r="S284" t="s">
        <v>19</v>
      </c>
      <c r="T284" s="2">
        <v>238</v>
      </c>
      <c r="U284" s="3">
        <v>18</v>
      </c>
    </row>
    <row r="285" spans="3:21" x14ac:dyDescent="0.3">
      <c r="C285" t="s">
        <v>3</v>
      </c>
      <c r="D285" t="s">
        <v>36</v>
      </c>
      <c r="E285" t="s">
        <v>19</v>
      </c>
      <c r="F285" s="2">
        <v>1281</v>
      </c>
      <c r="G285" s="3">
        <v>18</v>
      </c>
      <c r="J285" t="s">
        <v>8</v>
      </c>
      <c r="K285" t="s">
        <v>37</v>
      </c>
      <c r="L285" t="s">
        <v>21</v>
      </c>
      <c r="M285" s="2">
        <v>434</v>
      </c>
      <c r="N285" s="3">
        <v>87</v>
      </c>
      <c r="Q285" t="s">
        <v>3</v>
      </c>
      <c r="R285" t="s">
        <v>36</v>
      </c>
      <c r="S285" t="s">
        <v>19</v>
      </c>
      <c r="T285" s="2">
        <v>1281</v>
      </c>
      <c r="U285" s="3">
        <v>18</v>
      </c>
    </row>
    <row r="286" spans="3:21" x14ac:dyDescent="0.3">
      <c r="C286" t="s">
        <v>2</v>
      </c>
      <c r="D286" t="s">
        <v>37</v>
      </c>
      <c r="E286" t="s">
        <v>19</v>
      </c>
      <c r="F286" s="2">
        <v>238</v>
      </c>
      <c r="G286" s="3">
        <v>18</v>
      </c>
      <c r="J286" t="s">
        <v>5</v>
      </c>
      <c r="K286" t="s">
        <v>39</v>
      </c>
      <c r="L286" t="s">
        <v>18</v>
      </c>
      <c r="M286" s="2">
        <v>385</v>
      </c>
      <c r="N286" s="3">
        <v>249</v>
      </c>
      <c r="Q286" t="s">
        <v>3</v>
      </c>
      <c r="R286" t="s">
        <v>34</v>
      </c>
      <c r="S286" t="s">
        <v>20</v>
      </c>
      <c r="T286" s="2">
        <v>2583</v>
      </c>
      <c r="U286" s="3">
        <v>18</v>
      </c>
    </row>
    <row r="287" spans="3:21" x14ac:dyDescent="0.3">
      <c r="C287" t="s">
        <v>5</v>
      </c>
      <c r="D287" t="s">
        <v>36</v>
      </c>
      <c r="E287" t="s">
        <v>23</v>
      </c>
      <c r="F287" s="2">
        <v>6314</v>
      </c>
      <c r="G287" s="3">
        <v>15</v>
      </c>
      <c r="J287" t="s">
        <v>8</v>
      </c>
      <c r="K287" t="s">
        <v>35</v>
      </c>
      <c r="L287" t="s">
        <v>33</v>
      </c>
      <c r="M287" s="2">
        <v>357</v>
      </c>
      <c r="N287" s="3">
        <v>126</v>
      </c>
      <c r="Q287" t="s">
        <v>5</v>
      </c>
      <c r="R287" t="s">
        <v>36</v>
      </c>
      <c r="S287" t="s">
        <v>23</v>
      </c>
      <c r="T287" s="2">
        <v>6314</v>
      </c>
      <c r="U287" s="3">
        <v>15</v>
      </c>
    </row>
    <row r="288" spans="3:21" x14ac:dyDescent="0.3">
      <c r="C288" t="s">
        <v>5</v>
      </c>
      <c r="D288" t="s">
        <v>35</v>
      </c>
      <c r="E288" t="s">
        <v>18</v>
      </c>
      <c r="F288" s="2">
        <v>2415</v>
      </c>
      <c r="G288" s="3">
        <v>15</v>
      </c>
      <c r="J288" t="s">
        <v>41</v>
      </c>
      <c r="K288" t="s">
        <v>34</v>
      </c>
      <c r="L288" t="s">
        <v>22</v>
      </c>
      <c r="M288" s="2">
        <v>336</v>
      </c>
      <c r="N288" s="3">
        <v>144</v>
      </c>
      <c r="Q288" t="s">
        <v>2</v>
      </c>
      <c r="R288" t="s">
        <v>35</v>
      </c>
      <c r="S288" t="s">
        <v>19</v>
      </c>
      <c r="T288" s="2">
        <v>553</v>
      </c>
      <c r="U288" s="3">
        <v>15</v>
      </c>
    </row>
    <row r="289" spans="3:21" x14ac:dyDescent="0.3">
      <c r="C289" t="s">
        <v>6</v>
      </c>
      <c r="D289" t="s">
        <v>34</v>
      </c>
      <c r="E289" t="s">
        <v>15</v>
      </c>
      <c r="F289" s="2">
        <v>1442</v>
      </c>
      <c r="G289" s="3">
        <v>15</v>
      </c>
      <c r="J289" t="s">
        <v>7</v>
      </c>
      <c r="K289" t="s">
        <v>36</v>
      </c>
      <c r="L289" t="s">
        <v>32</v>
      </c>
      <c r="M289" s="2">
        <v>280</v>
      </c>
      <c r="N289" s="3">
        <v>87</v>
      </c>
      <c r="Q289" t="s">
        <v>6</v>
      </c>
      <c r="R289" t="s">
        <v>34</v>
      </c>
      <c r="S289" t="s">
        <v>15</v>
      </c>
      <c r="T289" s="2">
        <v>1442</v>
      </c>
      <c r="U289" s="3">
        <v>15</v>
      </c>
    </row>
    <row r="290" spans="3:21" x14ac:dyDescent="0.3">
      <c r="C290" t="s">
        <v>2</v>
      </c>
      <c r="D290" t="s">
        <v>35</v>
      </c>
      <c r="E290" t="s">
        <v>19</v>
      </c>
      <c r="F290" s="2">
        <v>553</v>
      </c>
      <c r="G290" s="3">
        <v>15</v>
      </c>
      <c r="J290" t="s">
        <v>9</v>
      </c>
      <c r="K290" t="s">
        <v>37</v>
      </c>
      <c r="L290" t="s">
        <v>4</v>
      </c>
      <c r="M290" s="2">
        <v>259</v>
      </c>
      <c r="N290" s="3">
        <v>207</v>
      </c>
      <c r="Q290" t="s">
        <v>5</v>
      </c>
      <c r="R290" t="s">
        <v>35</v>
      </c>
      <c r="S290" t="s">
        <v>18</v>
      </c>
      <c r="T290" s="2">
        <v>2415</v>
      </c>
      <c r="U290" s="3">
        <v>15</v>
      </c>
    </row>
    <row r="291" spans="3:21" x14ac:dyDescent="0.3">
      <c r="C291" t="s">
        <v>40</v>
      </c>
      <c r="D291" t="s">
        <v>39</v>
      </c>
      <c r="E291" t="s">
        <v>22</v>
      </c>
      <c r="F291" s="2">
        <v>5817</v>
      </c>
      <c r="G291" s="3">
        <v>12</v>
      </c>
      <c r="J291" t="s">
        <v>2</v>
      </c>
      <c r="K291" t="s">
        <v>34</v>
      </c>
      <c r="L291" t="s">
        <v>13</v>
      </c>
      <c r="M291" s="2">
        <v>252</v>
      </c>
      <c r="N291" s="3">
        <v>54</v>
      </c>
      <c r="Q291" t="s">
        <v>5</v>
      </c>
      <c r="R291" t="s">
        <v>37</v>
      </c>
      <c r="S291" t="s">
        <v>14</v>
      </c>
      <c r="T291" s="2">
        <v>4991</v>
      </c>
      <c r="U291" s="3">
        <v>12</v>
      </c>
    </row>
    <row r="292" spans="3:21" x14ac:dyDescent="0.3">
      <c r="C292" t="s">
        <v>5</v>
      </c>
      <c r="D292" t="s">
        <v>37</v>
      </c>
      <c r="E292" t="s">
        <v>14</v>
      </c>
      <c r="F292" s="2">
        <v>4991</v>
      </c>
      <c r="G292" s="3">
        <v>12</v>
      </c>
      <c r="J292" t="s">
        <v>10</v>
      </c>
      <c r="K292" t="s">
        <v>37</v>
      </c>
      <c r="L292" t="s">
        <v>21</v>
      </c>
      <c r="M292" s="2">
        <v>245</v>
      </c>
      <c r="N292" s="3">
        <v>288</v>
      </c>
      <c r="Q292" t="s">
        <v>40</v>
      </c>
      <c r="R292" t="s">
        <v>39</v>
      </c>
      <c r="S292" t="s">
        <v>22</v>
      </c>
      <c r="T292" s="2">
        <v>5817</v>
      </c>
      <c r="U292" s="3">
        <v>12</v>
      </c>
    </row>
    <row r="293" spans="3:21" x14ac:dyDescent="0.3">
      <c r="C293" t="s">
        <v>6</v>
      </c>
      <c r="D293" t="s">
        <v>36</v>
      </c>
      <c r="E293" t="s">
        <v>32</v>
      </c>
      <c r="F293" s="2">
        <v>6118</v>
      </c>
      <c r="G293" s="3">
        <v>9</v>
      </c>
      <c r="J293" t="s">
        <v>2</v>
      </c>
      <c r="K293" t="s">
        <v>37</v>
      </c>
      <c r="L293" t="s">
        <v>19</v>
      </c>
      <c r="M293" s="2">
        <v>238</v>
      </c>
      <c r="N293" s="3">
        <v>18</v>
      </c>
      <c r="Q293" t="s">
        <v>6</v>
      </c>
      <c r="R293" t="s">
        <v>36</v>
      </c>
      <c r="S293" t="s">
        <v>32</v>
      </c>
      <c r="T293" s="2">
        <v>6118</v>
      </c>
      <c r="U293" s="3">
        <v>9</v>
      </c>
    </row>
    <row r="294" spans="3:21" x14ac:dyDescent="0.3">
      <c r="C294" t="s">
        <v>10</v>
      </c>
      <c r="D294" t="s">
        <v>34</v>
      </c>
      <c r="E294" t="s">
        <v>26</v>
      </c>
      <c r="F294" s="2">
        <v>4991</v>
      </c>
      <c r="G294" s="3">
        <v>9</v>
      </c>
      <c r="J294" t="s">
        <v>40</v>
      </c>
      <c r="K294" t="s">
        <v>36</v>
      </c>
      <c r="L294" t="s">
        <v>4</v>
      </c>
      <c r="M294" s="2">
        <v>217</v>
      </c>
      <c r="N294" s="3">
        <v>36</v>
      </c>
      <c r="Q294" t="s">
        <v>9</v>
      </c>
      <c r="R294" t="s">
        <v>38</v>
      </c>
      <c r="S294" t="s">
        <v>17</v>
      </c>
      <c r="T294" s="2">
        <v>2408</v>
      </c>
      <c r="U294" s="3">
        <v>9</v>
      </c>
    </row>
    <row r="295" spans="3:21" x14ac:dyDescent="0.3">
      <c r="C295" t="s">
        <v>41</v>
      </c>
      <c r="D295" t="s">
        <v>37</v>
      </c>
      <c r="E295" t="s">
        <v>21</v>
      </c>
      <c r="F295" s="2">
        <v>2933</v>
      </c>
      <c r="G295" s="3">
        <v>9</v>
      </c>
      <c r="J295" t="s">
        <v>2</v>
      </c>
      <c r="K295" t="s">
        <v>36</v>
      </c>
      <c r="L295" t="s">
        <v>17</v>
      </c>
      <c r="M295" s="2">
        <v>189</v>
      </c>
      <c r="N295" s="3">
        <v>48</v>
      </c>
      <c r="Q295" t="s">
        <v>41</v>
      </c>
      <c r="R295" t="s">
        <v>37</v>
      </c>
      <c r="S295" t="s">
        <v>21</v>
      </c>
      <c r="T295" s="2">
        <v>2933</v>
      </c>
      <c r="U295" s="3">
        <v>9</v>
      </c>
    </row>
    <row r="296" spans="3:21" x14ac:dyDescent="0.3">
      <c r="C296" t="s">
        <v>5</v>
      </c>
      <c r="D296" t="s">
        <v>35</v>
      </c>
      <c r="E296" t="s">
        <v>4</v>
      </c>
      <c r="F296" s="2">
        <v>2744</v>
      </c>
      <c r="G296" s="3">
        <v>9</v>
      </c>
      <c r="J296" t="s">
        <v>5</v>
      </c>
      <c r="K296" t="s">
        <v>37</v>
      </c>
      <c r="L296" t="s">
        <v>31</v>
      </c>
      <c r="M296" s="2">
        <v>182</v>
      </c>
      <c r="N296" s="3">
        <v>48</v>
      </c>
      <c r="Q296" t="s">
        <v>5</v>
      </c>
      <c r="R296" t="s">
        <v>35</v>
      </c>
      <c r="S296" t="s">
        <v>4</v>
      </c>
      <c r="T296" s="2">
        <v>2744</v>
      </c>
      <c r="U296" s="3">
        <v>9</v>
      </c>
    </row>
    <row r="297" spans="3:21" x14ac:dyDescent="0.3">
      <c r="C297" t="s">
        <v>9</v>
      </c>
      <c r="D297" t="s">
        <v>38</v>
      </c>
      <c r="E297" t="s">
        <v>17</v>
      </c>
      <c r="F297" s="2">
        <v>2408</v>
      </c>
      <c r="G297" s="3">
        <v>9</v>
      </c>
      <c r="J297" t="s">
        <v>8</v>
      </c>
      <c r="K297" t="s">
        <v>38</v>
      </c>
      <c r="L297" t="s">
        <v>22</v>
      </c>
      <c r="M297" s="2">
        <v>168</v>
      </c>
      <c r="N297" s="3">
        <v>84</v>
      </c>
      <c r="Q297" t="s">
        <v>10</v>
      </c>
      <c r="R297" t="s">
        <v>34</v>
      </c>
      <c r="S297" t="s">
        <v>26</v>
      </c>
      <c r="T297" s="2">
        <v>4991</v>
      </c>
      <c r="U297" s="3">
        <v>9</v>
      </c>
    </row>
    <row r="298" spans="3:21" x14ac:dyDescent="0.3">
      <c r="C298" t="s">
        <v>6</v>
      </c>
      <c r="D298" t="s">
        <v>37</v>
      </c>
      <c r="E298" t="s">
        <v>26</v>
      </c>
      <c r="F298" s="2">
        <v>6818</v>
      </c>
      <c r="G298" s="3">
        <v>6</v>
      </c>
      <c r="J298" t="s">
        <v>41</v>
      </c>
      <c r="K298" t="s">
        <v>38</v>
      </c>
      <c r="L298" t="s">
        <v>25</v>
      </c>
      <c r="M298" s="2">
        <v>154</v>
      </c>
      <c r="N298" s="3">
        <v>21</v>
      </c>
      <c r="Q298" t="s">
        <v>6</v>
      </c>
      <c r="R298" t="s">
        <v>38</v>
      </c>
      <c r="S298" t="s">
        <v>16</v>
      </c>
      <c r="T298" s="2">
        <v>938</v>
      </c>
      <c r="U298" s="3">
        <v>6</v>
      </c>
    </row>
    <row r="299" spans="3:21" x14ac:dyDescent="0.3">
      <c r="C299" t="s">
        <v>10</v>
      </c>
      <c r="D299" t="s">
        <v>35</v>
      </c>
      <c r="E299" t="s">
        <v>15</v>
      </c>
      <c r="F299" s="2">
        <v>2562</v>
      </c>
      <c r="G299" s="3">
        <v>6</v>
      </c>
      <c r="J299" t="s">
        <v>9</v>
      </c>
      <c r="K299" t="s">
        <v>35</v>
      </c>
      <c r="L299" t="s">
        <v>26</v>
      </c>
      <c r="M299" s="2">
        <v>98</v>
      </c>
      <c r="N299" s="3">
        <v>159</v>
      </c>
      <c r="Q299" t="s">
        <v>10</v>
      </c>
      <c r="R299" t="s">
        <v>35</v>
      </c>
      <c r="S299" t="s">
        <v>15</v>
      </c>
      <c r="T299" s="2">
        <v>2562</v>
      </c>
      <c r="U299" s="3">
        <v>6</v>
      </c>
    </row>
    <row r="300" spans="3:21" x14ac:dyDescent="0.3">
      <c r="C300" t="s">
        <v>6</v>
      </c>
      <c r="D300" t="s">
        <v>38</v>
      </c>
      <c r="E300" t="s">
        <v>16</v>
      </c>
      <c r="F300" s="2">
        <v>938</v>
      </c>
      <c r="G300" s="3">
        <v>6</v>
      </c>
      <c r="J300" t="s">
        <v>41</v>
      </c>
      <c r="K300" t="s">
        <v>36</v>
      </c>
      <c r="L300" t="s">
        <v>26</v>
      </c>
      <c r="M300" s="2">
        <v>98</v>
      </c>
      <c r="N300" s="3">
        <v>204</v>
      </c>
      <c r="Q300" t="s">
        <v>6</v>
      </c>
      <c r="R300" t="s">
        <v>37</v>
      </c>
      <c r="S300" t="s">
        <v>26</v>
      </c>
      <c r="T300" s="2">
        <v>6818</v>
      </c>
      <c r="U300" s="3">
        <v>6</v>
      </c>
    </row>
    <row r="301" spans="3:21" x14ac:dyDescent="0.3">
      <c r="C301" t="s">
        <v>5</v>
      </c>
      <c r="D301" t="s">
        <v>36</v>
      </c>
      <c r="E301" t="s">
        <v>18</v>
      </c>
      <c r="F301" s="2">
        <v>6111</v>
      </c>
      <c r="G301" s="3">
        <v>3</v>
      </c>
      <c r="J301" t="s">
        <v>10</v>
      </c>
      <c r="K301" t="s">
        <v>38</v>
      </c>
      <c r="L301" t="s">
        <v>13</v>
      </c>
      <c r="M301" s="2">
        <v>63</v>
      </c>
      <c r="N301" s="3">
        <v>123</v>
      </c>
      <c r="Q301" t="s">
        <v>2</v>
      </c>
      <c r="R301" t="s">
        <v>38</v>
      </c>
      <c r="S301" t="s">
        <v>4</v>
      </c>
      <c r="T301" s="2">
        <v>3549</v>
      </c>
      <c r="U301" s="3">
        <v>3</v>
      </c>
    </row>
    <row r="302" spans="3:21" x14ac:dyDescent="0.3">
      <c r="C302" t="s">
        <v>41</v>
      </c>
      <c r="D302" t="s">
        <v>38</v>
      </c>
      <c r="E302" t="s">
        <v>22</v>
      </c>
      <c r="F302" s="2">
        <v>5915</v>
      </c>
      <c r="G302" s="3">
        <v>3</v>
      </c>
      <c r="J302" t="s">
        <v>2</v>
      </c>
      <c r="K302" t="s">
        <v>38</v>
      </c>
      <c r="L302" t="s">
        <v>13</v>
      </c>
      <c r="M302" s="2">
        <v>56</v>
      </c>
      <c r="N302" s="3">
        <v>51</v>
      </c>
      <c r="Q302" t="s">
        <v>41</v>
      </c>
      <c r="R302" t="s">
        <v>38</v>
      </c>
      <c r="S302" t="s">
        <v>22</v>
      </c>
      <c r="T302" s="2">
        <v>5915</v>
      </c>
      <c r="U302" s="3">
        <v>3</v>
      </c>
    </row>
    <row r="303" spans="3:21" x14ac:dyDescent="0.3">
      <c r="C303" t="s">
        <v>2</v>
      </c>
      <c r="D303" t="s">
        <v>38</v>
      </c>
      <c r="E303" t="s">
        <v>4</v>
      </c>
      <c r="F303" s="2">
        <v>3549</v>
      </c>
      <c r="G303" s="3">
        <v>3</v>
      </c>
      <c r="J303" t="s">
        <v>8</v>
      </c>
      <c r="K303" t="s">
        <v>37</v>
      </c>
      <c r="L303" t="s">
        <v>30</v>
      </c>
      <c r="M303" s="2">
        <v>42</v>
      </c>
      <c r="N303" s="3">
        <v>150</v>
      </c>
      <c r="Q303" t="s">
        <v>5</v>
      </c>
      <c r="R303" t="s">
        <v>36</v>
      </c>
      <c r="S303" t="s">
        <v>18</v>
      </c>
      <c r="T303" s="2">
        <v>6111</v>
      </c>
      <c r="U303" s="3">
        <v>3</v>
      </c>
    </row>
    <row r="304" spans="3:21" x14ac:dyDescent="0.3">
      <c r="C304" t="s">
        <v>6</v>
      </c>
      <c r="D304" t="s">
        <v>39</v>
      </c>
      <c r="E304" t="s">
        <v>24</v>
      </c>
      <c r="F304" s="2">
        <v>2989</v>
      </c>
      <c r="G304" s="3">
        <v>3</v>
      </c>
      <c r="J304" t="s">
        <v>3</v>
      </c>
      <c r="K304" t="s">
        <v>39</v>
      </c>
      <c r="L304" t="s">
        <v>16</v>
      </c>
      <c r="M304" s="2">
        <v>21</v>
      </c>
      <c r="N304" s="3">
        <v>168</v>
      </c>
      <c r="Q304" t="s">
        <v>6</v>
      </c>
      <c r="R304" t="s">
        <v>39</v>
      </c>
      <c r="S304" t="s">
        <v>24</v>
      </c>
      <c r="T304" s="2">
        <v>2989</v>
      </c>
      <c r="U304" s="3">
        <v>3</v>
      </c>
    </row>
    <row r="305" spans="3:21" x14ac:dyDescent="0.3">
      <c r="C305" t="s">
        <v>7</v>
      </c>
      <c r="D305" t="s">
        <v>37</v>
      </c>
      <c r="E305" t="s">
        <v>26</v>
      </c>
      <c r="F305" s="2">
        <v>5306</v>
      </c>
      <c r="G305" s="3">
        <v>0</v>
      </c>
      <c r="J305" t="s">
        <v>40</v>
      </c>
      <c r="K305" t="s">
        <v>39</v>
      </c>
      <c r="L305" t="s">
        <v>29</v>
      </c>
      <c r="M305" s="2">
        <v>0</v>
      </c>
      <c r="N305" s="3">
        <v>135</v>
      </c>
      <c r="Q305" t="s">
        <v>7</v>
      </c>
      <c r="R305" t="s">
        <v>37</v>
      </c>
      <c r="S305" t="s">
        <v>26</v>
      </c>
      <c r="T305" s="2">
        <v>5306</v>
      </c>
      <c r="U305" s="3">
        <v>0</v>
      </c>
    </row>
  </sheetData>
  <conditionalFormatting sqref="F6:F305">
    <cfRule type="colorScale" priority="15">
      <colorScale>
        <cfvo type="min"/>
        <cfvo type="percentile" val="50"/>
        <cfvo type="max"/>
        <color rgb="FFF8696B"/>
        <color rgb="FFFFEB84"/>
        <color rgb="FF63BE7B"/>
      </colorScale>
    </cfRule>
  </conditionalFormatting>
  <conditionalFormatting sqref="G6:G305">
    <cfRule type="dataBar" priority="16">
      <dataBar>
        <cfvo type="min"/>
        <cfvo type="max"/>
        <color rgb="FF008AEF"/>
      </dataBar>
      <extLst>
        <ext xmlns:x14="http://schemas.microsoft.com/office/spreadsheetml/2009/9/main" uri="{B025F937-C7B1-47D3-B67F-A62EFF666E3E}">
          <x14:id>{18245DE2-05F4-490C-8CA5-F455164FD87D}</x14:id>
        </ext>
      </extLst>
    </cfRule>
  </conditionalFormatting>
  <conditionalFormatting sqref="M6:M305">
    <cfRule type="top10" dxfId="1" priority="4" rank="10"/>
  </conditionalFormatting>
  <conditionalFormatting sqref="U6:U305">
    <cfRule type="duplicateValues" dxfId="0" priority="1"/>
  </conditionalFormatting>
  <pageMargins left="0.7" right="0.7" top="0.75" bottom="0.75" header="0.3" footer="0.3"/>
  <pageSetup orientation="portrait"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18245DE2-05F4-490C-8CA5-F455164FD87D}">
            <x14:dataBar minLength="0" maxLength="100" border="1" negativeBarBorderColorSameAsPositive="0">
              <x14:cfvo type="autoMin"/>
              <x14:cfvo type="autoMax"/>
              <x14:borderColor rgb="FF008AEF"/>
              <x14:negativeFillColor rgb="FFFF0000"/>
              <x14:negativeBorderColor rgb="FFFF0000"/>
              <x14:axisColor rgb="FF000000"/>
            </x14:dataBar>
          </x14:cfRule>
          <xm:sqref>G6:G305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BAF01-4151-4D4B-8211-0D705A155E19}">
  <dimension ref="A2:Y18"/>
  <sheetViews>
    <sheetView showGridLines="0" zoomScale="115" zoomScaleNormal="115" workbookViewId="0">
      <selection activeCell="I16" sqref="I16"/>
    </sheetView>
  </sheetViews>
  <sheetFormatPr defaultRowHeight="14.4" x14ac:dyDescent="0.3"/>
  <cols>
    <col min="2" max="2" width="11.6640625" customWidth="1"/>
    <col min="3" max="3" width="11.44140625" bestFit="1" customWidth="1"/>
    <col min="8" max="8" width="12" customWidth="1"/>
    <col min="9" max="9" width="10.77734375" customWidth="1"/>
    <col min="10" max="10" width="8.109375" customWidth="1"/>
    <col min="11" max="13" width="8.88671875" customWidth="1"/>
  </cols>
  <sheetData>
    <row r="2" spans="1:25" ht="46.2" x14ac:dyDescent="0.85">
      <c r="A2" s="16"/>
      <c r="B2" s="24" t="s">
        <v>74</v>
      </c>
      <c r="C2" s="16"/>
      <c r="D2" s="16"/>
      <c r="E2" s="16"/>
      <c r="F2" s="16"/>
      <c r="G2" s="16"/>
      <c r="H2" s="16"/>
      <c r="I2" s="16"/>
      <c r="J2" s="16"/>
      <c r="K2" s="16"/>
      <c r="L2" s="16"/>
      <c r="M2" s="16"/>
      <c r="N2" s="16"/>
      <c r="O2" s="16"/>
      <c r="P2" s="16"/>
      <c r="Q2" s="16"/>
      <c r="R2" s="16"/>
      <c r="S2" s="16"/>
      <c r="T2" s="16"/>
      <c r="U2" s="16"/>
      <c r="V2" s="16"/>
      <c r="W2" s="16"/>
      <c r="X2" s="16"/>
      <c r="Y2" s="16"/>
    </row>
    <row r="5" spans="1:25" x14ac:dyDescent="0.3">
      <c r="B5" s="23" t="s">
        <v>69</v>
      </c>
      <c r="H5" s="23" t="s">
        <v>68</v>
      </c>
    </row>
    <row r="7" spans="1:25" x14ac:dyDescent="0.3">
      <c r="B7" s="13" t="s">
        <v>64</v>
      </c>
      <c r="C7" s="98" t="s">
        <v>1</v>
      </c>
      <c r="D7" s="99" t="s">
        <v>43</v>
      </c>
      <c r="H7" s="22" t="s">
        <v>64</v>
      </c>
      <c r="I7" s="20" t="s">
        <v>1</v>
      </c>
      <c r="J7" s="21" t="s">
        <v>65</v>
      </c>
      <c r="K7" s="20" t="s">
        <v>43</v>
      </c>
    </row>
    <row r="8" spans="1:25" x14ac:dyDescent="0.3">
      <c r="B8" s="89" t="str" cm="1">
        <f t="array" ref="B8:B13">_xlfn.UNIQUE(data[Geography])</f>
        <v>New Zealand</v>
      </c>
      <c r="C8" s="84">
        <f>SUMIFS(data[Amount],data[Geography], B8)</f>
        <v>218813</v>
      </c>
      <c r="D8" s="85">
        <f>SUMIFS(data[Units],data[Geography],B8)</f>
        <v>7431</v>
      </c>
      <c r="H8" s="17" t="s">
        <v>34</v>
      </c>
      <c r="I8" s="18">
        <v>252469</v>
      </c>
      <c r="J8" s="18">
        <f t="shared" ref="J8:J13" si="0">I8</f>
        <v>252469</v>
      </c>
      <c r="K8" s="19">
        <v>8760</v>
      </c>
    </row>
    <row r="9" spans="1:25" x14ac:dyDescent="0.3">
      <c r="B9" s="89" t="str">
        <v>USA</v>
      </c>
      <c r="C9" s="84">
        <f>SUMIFS(data[Amount],data[Geography], B9)</f>
        <v>189434</v>
      </c>
      <c r="D9" s="85">
        <f>SUMIFS(data[Units],data[Geography],B9)</f>
        <v>10158</v>
      </c>
      <c r="H9" s="17" t="s">
        <v>36</v>
      </c>
      <c r="I9" s="18">
        <v>237944</v>
      </c>
      <c r="J9" s="18">
        <f t="shared" si="0"/>
        <v>237944</v>
      </c>
      <c r="K9" s="19">
        <v>7302</v>
      </c>
    </row>
    <row r="10" spans="1:25" x14ac:dyDescent="0.3">
      <c r="B10" s="89" t="str">
        <v>Canada</v>
      </c>
      <c r="C10" s="84">
        <f>SUMIFS(data[Amount],data[Geography], B10)</f>
        <v>237944</v>
      </c>
      <c r="D10" s="85">
        <f>SUMIFS(data[Units],data[Geography],B10)</f>
        <v>7302</v>
      </c>
      <c r="H10" s="17" t="s">
        <v>37</v>
      </c>
      <c r="I10" s="18">
        <v>218813</v>
      </c>
      <c r="J10" s="18">
        <f t="shared" si="0"/>
        <v>218813</v>
      </c>
      <c r="K10" s="19">
        <v>7431</v>
      </c>
    </row>
    <row r="11" spans="1:25" x14ac:dyDescent="0.3">
      <c r="B11" s="89" t="str">
        <v>UK</v>
      </c>
      <c r="C11" s="84">
        <f>SUMIFS(data[Amount],data[Geography], B11)</f>
        <v>173530</v>
      </c>
      <c r="D11" s="85">
        <f>SUMIFS(data[Units],data[Geography],B11)</f>
        <v>5745</v>
      </c>
      <c r="H11" s="17" t="s">
        <v>35</v>
      </c>
      <c r="I11" s="18">
        <v>189434</v>
      </c>
      <c r="J11" s="18">
        <f t="shared" si="0"/>
        <v>189434</v>
      </c>
      <c r="K11" s="19">
        <v>10158</v>
      </c>
    </row>
    <row r="12" spans="1:25" x14ac:dyDescent="0.3">
      <c r="B12" s="89" t="str">
        <v>Australia</v>
      </c>
      <c r="C12" s="84">
        <f>SUMIFS(data[Amount],data[Geography], B12)</f>
        <v>168679</v>
      </c>
      <c r="D12" s="85">
        <f>SUMIFS(data[Units],data[Geography],B12)</f>
        <v>6264</v>
      </c>
      <c r="H12" s="17" t="s">
        <v>39</v>
      </c>
      <c r="I12" s="18">
        <v>173530</v>
      </c>
      <c r="J12" s="18">
        <f t="shared" si="0"/>
        <v>173530</v>
      </c>
      <c r="K12" s="19">
        <v>5745</v>
      </c>
    </row>
    <row r="13" spans="1:25" x14ac:dyDescent="0.3">
      <c r="B13" s="90" t="str">
        <v>India</v>
      </c>
      <c r="C13" s="86">
        <f>SUMIFS(data[Amount],data[Geography], B13)</f>
        <v>252469</v>
      </c>
      <c r="D13" s="87">
        <f>SUMIFS(data[Units],data[Geography],B13)</f>
        <v>8760</v>
      </c>
      <c r="H13" s="17" t="s">
        <v>38</v>
      </c>
      <c r="I13" s="18">
        <v>168679</v>
      </c>
      <c r="J13" s="18">
        <f t="shared" si="0"/>
        <v>168679</v>
      </c>
      <c r="K13" s="19">
        <v>6264</v>
      </c>
    </row>
    <row r="15" spans="1:25" x14ac:dyDescent="0.3">
      <c r="Q15" t="s">
        <v>65</v>
      </c>
    </row>
    <row r="16" spans="1:25" x14ac:dyDescent="0.3">
      <c r="B16" t="s">
        <v>66</v>
      </c>
      <c r="H16" t="s">
        <v>67</v>
      </c>
    </row>
    <row r="17" spans="2:8" x14ac:dyDescent="0.3">
      <c r="B17" t="s">
        <v>73</v>
      </c>
      <c r="H17" t="s">
        <v>71</v>
      </c>
    </row>
    <row r="18" spans="2:8" x14ac:dyDescent="0.3">
      <c r="B18" t="s">
        <v>72</v>
      </c>
      <c r="H18" t="s">
        <v>70</v>
      </c>
    </row>
  </sheetData>
  <conditionalFormatting sqref="J8:J13">
    <cfRule type="dataBar" priority="1">
      <dataBar showValue="0">
        <cfvo type="min"/>
        <cfvo type="max"/>
        <color theme="8" tint="0.59999389629810485"/>
      </dataBar>
      <extLst>
        <ext xmlns:x14="http://schemas.microsoft.com/office/spreadsheetml/2009/9/main" uri="{B025F937-C7B1-47D3-B67F-A62EFF666E3E}">
          <x14:id>{E5CBFEF9-7787-4677-ADF5-B1F746637617}</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E5CBFEF9-7787-4677-ADF5-B1F746637617}">
            <x14:dataBar minLength="0" maxLength="100" gradient="0">
              <x14:cfvo type="autoMin"/>
              <x14:cfvo type="autoMax"/>
              <x14:negativeFillColor rgb="FFFF0000"/>
              <x14:axisColor rgb="FF000000"/>
            </x14:dataBar>
          </x14:cfRule>
          <xm:sqref>J8:J13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52687-D843-42E6-BAAD-D4167A263236}">
  <dimension ref="A2:U13"/>
  <sheetViews>
    <sheetView showGridLines="0" topLeftCell="A2" zoomScale="115" zoomScaleNormal="115" workbookViewId="0">
      <selection activeCell="D6" sqref="D6"/>
    </sheetView>
  </sheetViews>
  <sheetFormatPr defaultRowHeight="14.4" x14ac:dyDescent="0.3"/>
  <cols>
    <col min="1" max="1" width="7.44140625" customWidth="1"/>
    <col min="2" max="3" width="12.5546875" bestFit="1" customWidth="1"/>
    <col min="4" max="4" width="14.44140625" bestFit="1" customWidth="1"/>
    <col min="5" max="5" width="7.109375" bestFit="1" customWidth="1"/>
    <col min="6" max="6" width="11.77734375" customWidth="1"/>
    <col min="7" max="7" width="8.88671875" customWidth="1"/>
  </cols>
  <sheetData>
    <row r="2" spans="1:21" ht="46.2" x14ac:dyDescent="0.85">
      <c r="A2" s="33"/>
      <c r="B2" s="34" t="s">
        <v>81</v>
      </c>
      <c r="C2" s="33"/>
      <c r="D2" s="33"/>
      <c r="E2" s="33"/>
      <c r="F2" s="33"/>
      <c r="G2" s="33"/>
      <c r="H2" s="33"/>
      <c r="I2" s="33"/>
      <c r="J2" s="33"/>
      <c r="K2" s="33"/>
      <c r="L2" s="33"/>
      <c r="M2" s="33"/>
      <c r="N2" s="33"/>
      <c r="O2" s="33"/>
      <c r="P2" s="33"/>
      <c r="Q2" s="33"/>
      <c r="R2" s="33"/>
      <c r="S2" s="33"/>
      <c r="T2" s="33"/>
      <c r="U2" s="33"/>
    </row>
    <row r="4" spans="1:21" x14ac:dyDescent="0.3">
      <c r="A4" s="31"/>
    </row>
    <row r="6" spans="1:21" x14ac:dyDescent="0.3">
      <c r="C6" s="26" t="s">
        <v>76</v>
      </c>
      <c r="D6" s="32" t="s">
        <v>78</v>
      </c>
      <c r="E6" t="s">
        <v>80</v>
      </c>
      <c r="F6" t="s">
        <v>79</v>
      </c>
    </row>
    <row r="7" spans="1:21" x14ac:dyDescent="0.3">
      <c r="C7" s="27" t="s">
        <v>39</v>
      </c>
      <c r="D7" s="29">
        <v>45752</v>
      </c>
      <c r="E7" s="29">
        <v>45752</v>
      </c>
      <c r="F7" s="30">
        <v>1518</v>
      </c>
    </row>
    <row r="8" spans="1:21" x14ac:dyDescent="0.3">
      <c r="C8" s="27" t="s">
        <v>37</v>
      </c>
      <c r="D8" s="29">
        <v>25655</v>
      </c>
      <c r="E8" s="29">
        <v>25655</v>
      </c>
      <c r="F8" s="30">
        <v>453</v>
      </c>
    </row>
    <row r="9" spans="1:21" x14ac:dyDescent="0.3">
      <c r="C9" s="27" t="s">
        <v>36</v>
      </c>
      <c r="D9" s="29">
        <v>23709</v>
      </c>
      <c r="E9" s="29">
        <v>23709</v>
      </c>
      <c r="F9" s="30">
        <v>909</v>
      </c>
    </row>
    <row r="10" spans="1:21" x14ac:dyDescent="0.3">
      <c r="C10" s="27" t="s">
        <v>38</v>
      </c>
      <c r="D10" s="29">
        <v>18928</v>
      </c>
      <c r="E10" s="29">
        <v>18928</v>
      </c>
      <c r="F10" s="30">
        <v>738</v>
      </c>
    </row>
    <row r="11" spans="1:21" x14ac:dyDescent="0.3">
      <c r="C11" s="27" t="s">
        <v>34</v>
      </c>
      <c r="D11" s="29">
        <v>7763</v>
      </c>
      <c r="E11" s="29">
        <v>7763</v>
      </c>
      <c r="F11" s="30">
        <v>174</v>
      </c>
    </row>
    <row r="12" spans="1:21" x14ac:dyDescent="0.3">
      <c r="C12" s="27" t="s">
        <v>35</v>
      </c>
      <c r="D12" s="29">
        <v>2142</v>
      </c>
      <c r="E12" s="29">
        <v>2142</v>
      </c>
      <c r="F12" s="30">
        <v>318</v>
      </c>
    </row>
    <row r="13" spans="1:21" x14ac:dyDescent="0.3">
      <c r="F13" s="30"/>
    </row>
  </sheetData>
  <conditionalFormatting pivot="1" sqref="E7:E12">
    <cfRule type="dataBar" priority="1">
      <dataBar showValue="0">
        <cfvo type="min"/>
        <cfvo type="max"/>
        <color theme="5" tint="-0.499984740745262"/>
      </dataBar>
      <extLst>
        <ext xmlns:x14="http://schemas.microsoft.com/office/spreadsheetml/2009/9/main" uri="{B025F937-C7B1-47D3-B67F-A62EFF666E3E}">
          <x14:id>{43CCB3E1-CE3C-4259-9FEB-386E5891D48D}</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43CCB3E1-CE3C-4259-9FEB-386E5891D48D}">
            <x14:dataBar minLength="0" maxLength="100" gradient="0">
              <x14:cfvo type="autoMin"/>
              <x14:cfvo type="autoMax"/>
              <x14:negativeFillColor rgb="FFFF0000"/>
              <x14:axisColor rgb="FF000000"/>
            </x14:dataBar>
          </x14:cfRule>
          <xm:sqref>E7:E12</xm:sqref>
        </x14:conditionalFormatting>
      </x14:conditionalFormattings>
    </ex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ACDE-CBA5-47DD-AB29-CBF89A324DCC}">
  <dimension ref="A2:Z31"/>
  <sheetViews>
    <sheetView showGridLines="0" zoomScaleNormal="100" workbookViewId="0">
      <selection activeCell="D31" sqref="D31"/>
    </sheetView>
  </sheetViews>
  <sheetFormatPr defaultRowHeight="14.4" x14ac:dyDescent="0.3"/>
  <cols>
    <col min="1" max="1" width="5.77734375" customWidth="1"/>
    <col min="2" max="2" width="20.88671875" bestFit="1" customWidth="1"/>
    <col min="3" max="3" width="14.44140625" bestFit="1" customWidth="1"/>
    <col min="4" max="4" width="11.77734375" bestFit="1" customWidth="1"/>
    <col min="5" max="5" width="12.33203125" bestFit="1" customWidth="1"/>
    <col min="6" max="6" width="12" bestFit="1" customWidth="1"/>
    <col min="7" max="7" width="13.6640625" customWidth="1"/>
    <col min="8" max="8" width="17.77734375" bestFit="1" customWidth="1"/>
    <col min="9" max="9" width="12" bestFit="1" customWidth="1"/>
    <col min="10" max="10" width="12.6640625" bestFit="1" customWidth="1"/>
  </cols>
  <sheetData>
    <row r="2" spans="1:26" ht="46.2" x14ac:dyDescent="0.85">
      <c r="A2" s="33"/>
      <c r="B2" s="34" t="s">
        <v>88</v>
      </c>
      <c r="C2" s="33"/>
      <c r="D2" s="33"/>
      <c r="E2" s="33"/>
      <c r="F2" s="33"/>
      <c r="G2" s="33"/>
      <c r="H2" s="33"/>
      <c r="I2" s="33"/>
      <c r="J2" s="33"/>
      <c r="K2" s="33"/>
      <c r="L2" s="33"/>
      <c r="M2" s="33"/>
      <c r="N2" s="33"/>
      <c r="O2" s="33"/>
      <c r="P2" s="33"/>
      <c r="Q2" s="33"/>
      <c r="R2" s="33"/>
      <c r="S2" s="33"/>
      <c r="T2" s="33"/>
      <c r="U2" s="33"/>
      <c r="V2" s="33"/>
      <c r="W2" s="33"/>
      <c r="X2" s="33"/>
      <c r="Y2" s="33"/>
      <c r="Z2" s="33"/>
    </row>
    <row r="5" spans="1:26" ht="15.6" x14ac:dyDescent="0.3">
      <c r="B5" s="40" t="s">
        <v>87</v>
      </c>
    </row>
    <row r="6" spans="1:26" x14ac:dyDescent="0.3">
      <c r="B6" t="s">
        <v>84</v>
      </c>
    </row>
    <row r="8" spans="1:26" x14ac:dyDescent="0.3">
      <c r="B8" s="26" t="s">
        <v>76</v>
      </c>
      <c r="C8" t="s">
        <v>78</v>
      </c>
      <c r="D8" t="s">
        <v>79</v>
      </c>
      <c r="E8" t="s">
        <v>100</v>
      </c>
    </row>
    <row r="9" spans="1:26" ht="21" x14ac:dyDescent="0.4">
      <c r="B9" s="27" t="s">
        <v>24</v>
      </c>
      <c r="C9" s="36">
        <v>35378</v>
      </c>
      <c r="D9" s="37">
        <v>1044</v>
      </c>
      <c r="E9" s="36">
        <v>33.88697318007663</v>
      </c>
      <c r="H9" s="39" t="s">
        <v>83</v>
      </c>
    </row>
    <row r="10" spans="1:26" x14ac:dyDescent="0.3">
      <c r="B10" s="27" t="s">
        <v>22</v>
      </c>
      <c r="C10" s="36">
        <v>66283</v>
      </c>
      <c r="D10" s="37">
        <v>2052</v>
      </c>
      <c r="E10" s="36">
        <v>32.301656920077974</v>
      </c>
    </row>
    <row r="11" spans="1:26" x14ac:dyDescent="0.3">
      <c r="B11" s="27" t="s">
        <v>26</v>
      </c>
      <c r="C11" s="36">
        <v>70273</v>
      </c>
      <c r="D11" s="37">
        <v>2142</v>
      </c>
      <c r="E11" s="36">
        <v>32.807189542483663</v>
      </c>
      <c r="H11" t="s">
        <v>85</v>
      </c>
    </row>
    <row r="12" spans="1:26" x14ac:dyDescent="0.3">
      <c r="B12" s="27" t="s">
        <v>33</v>
      </c>
      <c r="C12" s="36">
        <v>69160</v>
      </c>
      <c r="D12" s="37">
        <v>1854</v>
      </c>
      <c r="E12" s="36">
        <v>37.303128371089535</v>
      </c>
      <c r="H12" t="s">
        <v>86</v>
      </c>
    </row>
    <row r="13" spans="1:26" x14ac:dyDescent="0.3">
      <c r="B13" s="27" t="s">
        <v>15</v>
      </c>
      <c r="C13" s="36">
        <v>68971</v>
      </c>
      <c r="D13" s="37">
        <v>1533</v>
      </c>
      <c r="E13" s="36">
        <v>44.990867579908674</v>
      </c>
    </row>
    <row r="14" spans="1:26" x14ac:dyDescent="0.3">
      <c r="B14" s="27" t="s">
        <v>14</v>
      </c>
      <c r="C14" s="36">
        <v>43183</v>
      </c>
      <c r="D14" s="37">
        <v>2022</v>
      </c>
      <c r="E14" s="36">
        <v>21.356577645895154</v>
      </c>
    </row>
    <row r="15" spans="1:26" x14ac:dyDescent="0.3">
      <c r="B15" s="27" t="s">
        <v>30</v>
      </c>
      <c r="C15" s="36">
        <v>66500</v>
      </c>
      <c r="D15" s="37">
        <v>2802</v>
      </c>
      <c r="E15" s="36">
        <v>23.733047822983583</v>
      </c>
      <c r="H15" s="26" t="s">
        <v>76</v>
      </c>
      <c r="I15" t="s">
        <v>100</v>
      </c>
    </row>
    <row r="16" spans="1:26" x14ac:dyDescent="0.3">
      <c r="B16" s="27" t="s">
        <v>19</v>
      </c>
      <c r="C16" s="36">
        <v>44744</v>
      </c>
      <c r="D16" s="37">
        <v>1956</v>
      </c>
      <c r="E16" s="36">
        <v>22.87525562372188</v>
      </c>
      <c r="H16" s="27" t="s">
        <v>24</v>
      </c>
      <c r="I16" s="36">
        <v>33.88697318007663</v>
      </c>
    </row>
    <row r="17" spans="2:9" x14ac:dyDescent="0.3">
      <c r="B17" s="27" t="s">
        <v>4</v>
      </c>
      <c r="C17" s="36">
        <v>33551</v>
      </c>
      <c r="D17" s="37">
        <v>1566</v>
      </c>
      <c r="E17" s="36">
        <v>21.424648786717754</v>
      </c>
      <c r="H17" s="27" t="s">
        <v>22</v>
      </c>
      <c r="I17" s="36">
        <v>32.301656920077974</v>
      </c>
    </row>
    <row r="18" spans="2:9" x14ac:dyDescent="0.3">
      <c r="B18" s="27" t="s">
        <v>28</v>
      </c>
      <c r="C18" s="36">
        <v>72373</v>
      </c>
      <c r="D18" s="37">
        <v>3207</v>
      </c>
      <c r="E18" s="36">
        <v>22.567196757093857</v>
      </c>
      <c r="H18" s="27" t="s">
        <v>26</v>
      </c>
      <c r="I18" s="36">
        <v>32.807189542483663</v>
      </c>
    </row>
    <row r="19" spans="2:9" x14ac:dyDescent="0.3">
      <c r="B19" s="27" t="s">
        <v>32</v>
      </c>
      <c r="C19" s="36">
        <v>71967</v>
      </c>
      <c r="D19" s="37">
        <v>2301</v>
      </c>
      <c r="E19" s="36">
        <v>31.276401564537156</v>
      </c>
      <c r="H19" s="38" t="s">
        <v>33</v>
      </c>
      <c r="I19" s="36">
        <v>37.303128371089535</v>
      </c>
    </row>
    <row r="20" spans="2:9" x14ac:dyDescent="0.3">
      <c r="B20" s="27" t="s">
        <v>18</v>
      </c>
      <c r="C20" s="36">
        <v>52150</v>
      </c>
      <c r="D20" s="37">
        <v>1752</v>
      </c>
      <c r="E20" s="36">
        <v>29.765981735159816</v>
      </c>
      <c r="H20" s="27" t="s">
        <v>15</v>
      </c>
      <c r="I20" s="36">
        <v>44.990867579908674</v>
      </c>
    </row>
    <row r="21" spans="2:9" x14ac:dyDescent="0.3">
      <c r="B21" s="27" t="s">
        <v>17</v>
      </c>
      <c r="C21" s="36">
        <v>63721</v>
      </c>
      <c r="D21" s="37">
        <v>2331</v>
      </c>
      <c r="E21" s="36">
        <v>27.336336336336338</v>
      </c>
      <c r="H21" s="27" t="s">
        <v>77</v>
      </c>
      <c r="I21" s="35">
        <v>35.949565217391303</v>
      </c>
    </row>
    <row r="22" spans="2:9" x14ac:dyDescent="0.3">
      <c r="B22" s="27" t="s">
        <v>23</v>
      </c>
      <c r="C22" s="36">
        <v>56644</v>
      </c>
      <c r="D22" s="37">
        <v>1812</v>
      </c>
      <c r="E22" s="36">
        <v>31.260485651214129</v>
      </c>
    </row>
    <row r="23" spans="2:9" x14ac:dyDescent="0.3">
      <c r="B23" s="27" t="s">
        <v>29</v>
      </c>
      <c r="C23" s="36">
        <v>58009</v>
      </c>
      <c r="D23" s="37">
        <v>2976</v>
      </c>
      <c r="E23" s="36">
        <v>19.492271505376344</v>
      </c>
    </row>
    <row r="24" spans="2:9" x14ac:dyDescent="0.3">
      <c r="B24" s="27" t="s">
        <v>13</v>
      </c>
      <c r="C24" s="36">
        <v>47271</v>
      </c>
      <c r="D24" s="37">
        <v>1881</v>
      </c>
      <c r="E24" s="36">
        <v>25.130781499202552</v>
      </c>
    </row>
    <row r="25" spans="2:9" x14ac:dyDescent="0.3">
      <c r="B25" s="27" t="s">
        <v>16</v>
      </c>
      <c r="C25" s="36">
        <v>62111</v>
      </c>
      <c r="D25" s="37">
        <v>2154</v>
      </c>
      <c r="E25" s="36">
        <v>28.835190343546891</v>
      </c>
    </row>
    <row r="26" spans="2:9" x14ac:dyDescent="0.3">
      <c r="B26" s="27" t="s">
        <v>20</v>
      </c>
      <c r="C26" s="36">
        <v>54712</v>
      </c>
      <c r="D26" s="37">
        <v>2196</v>
      </c>
      <c r="E26" s="36">
        <v>24.9143897996357</v>
      </c>
    </row>
    <row r="27" spans="2:9" x14ac:dyDescent="0.3">
      <c r="B27" s="27" t="s">
        <v>27</v>
      </c>
      <c r="C27" s="36">
        <v>69461</v>
      </c>
      <c r="D27" s="37">
        <v>2982</v>
      </c>
      <c r="E27" s="36">
        <v>23.293427230046948</v>
      </c>
    </row>
    <row r="28" spans="2:9" x14ac:dyDescent="0.3">
      <c r="B28" s="27" t="s">
        <v>31</v>
      </c>
      <c r="C28" s="36">
        <v>39263</v>
      </c>
      <c r="D28" s="37">
        <v>1683</v>
      </c>
      <c r="E28" s="36">
        <v>23.329174093879978</v>
      </c>
    </row>
    <row r="29" spans="2:9" x14ac:dyDescent="0.3">
      <c r="B29" s="27" t="s">
        <v>21</v>
      </c>
      <c r="C29" s="36">
        <v>37772</v>
      </c>
      <c r="D29" s="37">
        <v>1308</v>
      </c>
      <c r="E29" s="36">
        <v>28.877675840978593</v>
      </c>
    </row>
    <row r="30" spans="2:9" x14ac:dyDescent="0.3">
      <c r="B30" s="27" t="s">
        <v>25</v>
      </c>
      <c r="C30" s="36">
        <v>57372</v>
      </c>
      <c r="D30" s="37">
        <v>2106</v>
      </c>
      <c r="E30" s="36">
        <v>27.242165242165242</v>
      </c>
    </row>
    <row r="31" spans="2:9" x14ac:dyDescent="0.3">
      <c r="B31" s="27" t="s">
        <v>77</v>
      </c>
      <c r="C31" s="28">
        <v>1240869</v>
      </c>
      <c r="D31" s="28">
        <v>45660</v>
      </c>
      <c r="E31" s="35">
        <v>27.17628120893561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5480C-1010-4485-9DA5-F8CF6CD94A0B}">
  <dimension ref="B2:S304"/>
  <sheetViews>
    <sheetView showGridLines="0" zoomScale="85" zoomScaleNormal="85" workbookViewId="0">
      <selection activeCell="U47" sqref="U47"/>
    </sheetView>
  </sheetViews>
  <sheetFormatPr defaultRowHeight="14.4" x14ac:dyDescent="0.3"/>
  <cols>
    <col min="11" max="11" width="15.109375" bestFit="1" customWidth="1"/>
    <col min="12" max="12" width="15.109375" customWidth="1"/>
    <col min="13" max="13" width="13.77734375" customWidth="1"/>
    <col min="14" max="14" width="13.6640625" customWidth="1"/>
    <col min="15" max="15" width="15.44140625" bestFit="1" customWidth="1"/>
    <col min="16" max="16" width="20.21875" bestFit="1" customWidth="1"/>
    <col min="17" max="17" width="20.77734375" bestFit="1" customWidth="1"/>
    <col min="18" max="18" width="9.88671875" customWidth="1"/>
  </cols>
  <sheetData>
    <row r="2" spans="2:19" s="33" customFormat="1" ht="46.2" x14ac:dyDescent="0.85">
      <c r="B2" s="34" t="s">
        <v>93</v>
      </c>
    </row>
    <row r="4" spans="2:19" x14ac:dyDescent="0.3">
      <c r="B4" t="s">
        <v>89</v>
      </c>
      <c r="O4" s="4" t="s">
        <v>11</v>
      </c>
      <c r="P4" s="4" t="s">
        <v>12</v>
      </c>
      <c r="Q4" s="4" t="s">
        <v>0</v>
      </c>
      <c r="R4" s="7" t="s">
        <v>1</v>
      </c>
      <c r="S4" s="7" t="s">
        <v>43</v>
      </c>
    </row>
    <row r="5" spans="2:19" x14ac:dyDescent="0.3">
      <c r="O5" t="s">
        <v>40</v>
      </c>
      <c r="P5" t="s">
        <v>37</v>
      </c>
      <c r="Q5" t="s">
        <v>30</v>
      </c>
      <c r="R5" s="2">
        <v>1624</v>
      </c>
      <c r="S5" s="3">
        <v>114</v>
      </c>
    </row>
    <row r="6" spans="2:19" x14ac:dyDescent="0.3">
      <c r="O6" t="s">
        <v>8</v>
      </c>
      <c r="P6" t="s">
        <v>35</v>
      </c>
      <c r="Q6" t="s">
        <v>32</v>
      </c>
      <c r="R6" s="2">
        <v>6706</v>
      </c>
      <c r="S6" s="3">
        <v>459</v>
      </c>
    </row>
    <row r="7" spans="2:19" x14ac:dyDescent="0.3">
      <c r="O7" t="s">
        <v>9</v>
      </c>
      <c r="P7" t="s">
        <v>35</v>
      </c>
      <c r="Q7" t="s">
        <v>4</v>
      </c>
      <c r="R7" s="2">
        <v>959</v>
      </c>
      <c r="S7" s="3">
        <v>147</v>
      </c>
    </row>
    <row r="8" spans="2:19" x14ac:dyDescent="0.3">
      <c r="O8" t="s">
        <v>41</v>
      </c>
      <c r="P8" t="s">
        <v>36</v>
      </c>
      <c r="Q8" t="s">
        <v>18</v>
      </c>
      <c r="R8" s="2">
        <v>9632</v>
      </c>
      <c r="S8" s="3">
        <v>288</v>
      </c>
    </row>
    <row r="9" spans="2:19" x14ac:dyDescent="0.3">
      <c r="K9" t="s">
        <v>67</v>
      </c>
      <c r="O9" t="s">
        <v>6</v>
      </c>
      <c r="P9" t="s">
        <v>39</v>
      </c>
      <c r="Q9" t="s">
        <v>25</v>
      </c>
      <c r="R9" s="2">
        <v>2100</v>
      </c>
      <c r="S9" s="3">
        <v>414</v>
      </c>
    </row>
    <row r="10" spans="2:19" x14ac:dyDescent="0.3">
      <c r="K10" t="s">
        <v>92</v>
      </c>
      <c r="O10" t="s">
        <v>40</v>
      </c>
      <c r="P10" t="s">
        <v>35</v>
      </c>
      <c r="Q10" t="s">
        <v>33</v>
      </c>
      <c r="R10" s="2">
        <v>8869</v>
      </c>
      <c r="S10" s="3">
        <v>432</v>
      </c>
    </row>
    <row r="11" spans="2:19" x14ac:dyDescent="0.3">
      <c r="K11" t="s">
        <v>91</v>
      </c>
      <c r="O11" t="s">
        <v>6</v>
      </c>
      <c r="P11" t="s">
        <v>38</v>
      </c>
      <c r="Q11" t="s">
        <v>31</v>
      </c>
      <c r="R11" s="2">
        <v>2681</v>
      </c>
      <c r="S11" s="3">
        <v>54</v>
      </c>
    </row>
    <row r="12" spans="2:19" x14ac:dyDescent="0.3">
      <c r="O12" t="s">
        <v>8</v>
      </c>
      <c r="P12" t="s">
        <v>35</v>
      </c>
      <c r="Q12" t="s">
        <v>22</v>
      </c>
      <c r="R12" s="2">
        <v>5012</v>
      </c>
      <c r="S12" s="3">
        <v>210</v>
      </c>
    </row>
    <row r="13" spans="2:19" x14ac:dyDescent="0.3">
      <c r="O13" t="s">
        <v>7</v>
      </c>
      <c r="P13" t="s">
        <v>38</v>
      </c>
      <c r="Q13" t="s">
        <v>14</v>
      </c>
      <c r="R13" s="2">
        <v>1281</v>
      </c>
      <c r="S13" s="3">
        <v>75</v>
      </c>
    </row>
    <row r="14" spans="2:19" x14ac:dyDescent="0.3">
      <c r="O14" t="s">
        <v>5</v>
      </c>
      <c r="P14" t="s">
        <v>37</v>
      </c>
      <c r="Q14" t="s">
        <v>14</v>
      </c>
      <c r="R14" s="2">
        <v>4991</v>
      </c>
      <c r="S14" s="3">
        <v>12</v>
      </c>
    </row>
    <row r="15" spans="2:19" x14ac:dyDescent="0.3">
      <c r="O15" t="s">
        <v>2</v>
      </c>
      <c r="P15" t="s">
        <v>39</v>
      </c>
      <c r="Q15" t="s">
        <v>25</v>
      </c>
      <c r="R15" s="2">
        <v>1785</v>
      </c>
      <c r="S15" s="3">
        <v>462</v>
      </c>
    </row>
    <row r="16" spans="2:19" x14ac:dyDescent="0.3">
      <c r="L16" s="41" t="s">
        <v>141</v>
      </c>
      <c r="O16" t="s">
        <v>3</v>
      </c>
      <c r="P16" t="s">
        <v>37</v>
      </c>
      <c r="Q16" t="s">
        <v>17</v>
      </c>
      <c r="R16" s="2">
        <v>3983</v>
      </c>
      <c r="S16" s="3">
        <v>144</v>
      </c>
    </row>
    <row r="17" spans="2:19" x14ac:dyDescent="0.3">
      <c r="O17" t="s">
        <v>9</v>
      </c>
      <c r="P17" t="s">
        <v>38</v>
      </c>
      <c r="Q17" t="s">
        <v>16</v>
      </c>
      <c r="R17" s="2">
        <v>2646</v>
      </c>
      <c r="S17" s="3">
        <v>120</v>
      </c>
    </row>
    <row r="18" spans="2:19" x14ac:dyDescent="0.3">
      <c r="O18" t="s">
        <v>2</v>
      </c>
      <c r="P18" t="s">
        <v>34</v>
      </c>
      <c r="Q18" t="s">
        <v>13</v>
      </c>
      <c r="R18" s="2">
        <v>252</v>
      </c>
      <c r="S18" s="3">
        <v>54</v>
      </c>
    </row>
    <row r="19" spans="2:19" x14ac:dyDescent="0.3">
      <c r="O19" t="s">
        <v>3</v>
      </c>
      <c r="P19" t="s">
        <v>35</v>
      </c>
      <c r="Q19" t="s">
        <v>25</v>
      </c>
      <c r="R19" s="2">
        <v>2464</v>
      </c>
      <c r="S19" s="3">
        <v>234</v>
      </c>
    </row>
    <row r="20" spans="2:19" x14ac:dyDescent="0.3">
      <c r="B20" t="s">
        <v>90</v>
      </c>
      <c r="O20" t="s">
        <v>3</v>
      </c>
      <c r="P20" t="s">
        <v>35</v>
      </c>
      <c r="Q20" t="s">
        <v>29</v>
      </c>
      <c r="R20" s="2">
        <v>2114</v>
      </c>
      <c r="S20" s="3">
        <v>66</v>
      </c>
    </row>
    <row r="21" spans="2:19" x14ac:dyDescent="0.3">
      <c r="O21" t="s">
        <v>6</v>
      </c>
      <c r="P21" t="s">
        <v>37</v>
      </c>
      <c r="Q21" t="s">
        <v>31</v>
      </c>
      <c r="R21" s="2">
        <v>7693</v>
      </c>
      <c r="S21" s="3">
        <v>87</v>
      </c>
    </row>
    <row r="22" spans="2:19" x14ac:dyDescent="0.3">
      <c r="O22" t="s">
        <v>5</v>
      </c>
      <c r="P22" t="s">
        <v>34</v>
      </c>
      <c r="Q22" t="s">
        <v>20</v>
      </c>
      <c r="R22" s="2">
        <v>15610</v>
      </c>
      <c r="S22" s="3">
        <v>339</v>
      </c>
    </row>
    <row r="23" spans="2:19" x14ac:dyDescent="0.3">
      <c r="O23" t="s">
        <v>41</v>
      </c>
      <c r="P23" t="s">
        <v>34</v>
      </c>
      <c r="Q23" t="s">
        <v>22</v>
      </c>
      <c r="R23" s="2">
        <v>336</v>
      </c>
      <c r="S23" s="3">
        <v>144</v>
      </c>
    </row>
    <row r="24" spans="2:19" x14ac:dyDescent="0.3">
      <c r="O24" t="s">
        <v>2</v>
      </c>
      <c r="P24" t="s">
        <v>39</v>
      </c>
      <c r="Q24" t="s">
        <v>20</v>
      </c>
      <c r="R24" s="2">
        <v>9443</v>
      </c>
      <c r="S24" s="3">
        <v>162</v>
      </c>
    </row>
    <row r="25" spans="2:19" x14ac:dyDescent="0.3">
      <c r="O25" t="s">
        <v>9</v>
      </c>
      <c r="P25" t="s">
        <v>34</v>
      </c>
      <c r="Q25" t="s">
        <v>23</v>
      </c>
      <c r="R25" s="2">
        <v>8155</v>
      </c>
      <c r="S25" s="3">
        <v>90</v>
      </c>
    </row>
    <row r="26" spans="2:19" x14ac:dyDescent="0.3">
      <c r="O26" t="s">
        <v>8</v>
      </c>
      <c r="P26" t="s">
        <v>38</v>
      </c>
      <c r="Q26" t="s">
        <v>23</v>
      </c>
      <c r="R26" s="2">
        <v>1701</v>
      </c>
      <c r="S26" s="3">
        <v>234</v>
      </c>
    </row>
    <row r="27" spans="2:19" x14ac:dyDescent="0.3">
      <c r="O27" t="s">
        <v>10</v>
      </c>
      <c r="P27" t="s">
        <v>38</v>
      </c>
      <c r="Q27" t="s">
        <v>22</v>
      </c>
      <c r="R27" s="2">
        <v>2205</v>
      </c>
      <c r="S27" s="3">
        <v>141</v>
      </c>
    </row>
    <row r="28" spans="2:19" x14ac:dyDescent="0.3">
      <c r="O28" t="s">
        <v>8</v>
      </c>
      <c r="P28" t="s">
        <v>37</v>
      </c>
      <c r="Q28" t="s">
        <v>19</v>
      </c>
      <c r="R28" s="2">
        <v>1771</v>
      </c>
      <c r="S28" s="3">
        <v>204</v>
      </c>
    </row>
    <row r="29" spans="2:19" x14ac:dyDescent="0.3">
      <c r="O29" t="s">
        <v>41</v>
      </c>
      <c r="P29" t="s">
        <v>35</v>
      </c>
      <c r="Q29" t="s">
        <v>15</v>
      </c>
      <c r="R29" s="2">
        <v>2114</v>
      </c>
      <c r="S29" s="3">
        <v>186</v>
      </c>
    </row>
    <row r="30" spans="2:19" x14ac:dyDescent="0.3">
      <c r="O30" t="s">
        <v>41</v>
      </c>
      <c r="P30" t="s">
        <v>36</v>
      </c>
      <c r="Q30" t="s">
        <v>13</v>
      </c>
      <c r="R30" s="2">
        <v>10311</v>
      </c>
      <c r="S30" s="3">
        <v>231</v>
      </c>
    </row>
    <row r="31" spans="2:19" x14ac:dyDescent="0.3">
      <c r="O31" t="s">
        <v>3</v>
      </c>
      <c r="P31" t="s">
        <v>39</v>
      </c>
      <c r="Q31" t="s">
        <v>16</v>
      </c>
      <c r="R31" s="2">
        <v>21</v>
      </c>
      <c r="S31" s="3">
        <v>168</v>
      </c>
    </row>
    <row r="32" spans="2:19" x14ac:dyDescent="0.3">
      <c r="O32" t="s">
        <v>10</v>
      </c>
      <c r="P32" t="s">
        <v>35</v>
      </c>
      <c r="Q32" t="s">
        <v>20</v>
      </c>
      <c r="R32" s="2">
        <v>1974</v>
      </c>
      <c r="S32" s="3">
        <v>195</v>
      </c>
    </row>
    <row r="33" spans="15:19" x14ac:dyDescent="0.3">
      <c r="O33" t="s">
        <v>5</v>
      </c>
      <c r="P33" t="s">
        <v>36</v>
      </c>
      <c r="Q33" t="s">
        <v>23</v>
      </c>
      <c r="R33" s="2">
        <v>6314</v>
      </c>
      <c r="S33" s="3">
        <v>15</v>
      </c>
    </row>
    <row r="34" spans="15:19" x14ac:dyDescent="0.3">
      <c r="O34" t="s">
        <v>10</v>
      </c>
      <c r="P34" t="s">
        <v>37</v>
      </c>
      <c r="Q34" t="s">
        <v>23</v>
      </c>
      <c r="R34" s="2">
        <v>4683</v>
      </c>
      <c r="S34" s="3">
        <v>30</v>
      </c>
    </row>
    <row r="35" spans="15:19" x14ac:dyDescent="0.3">
      <c r="O35" t="s">
        <v>41</v>
      </c>
      <c r="P35" t="s">
        <v>37</v>
      </c>
      <c r="Q35" t="s">
        <v>24</v>
      </c>
      <c r="R35" s="2">
        <v>6398</v>
      </c>
      <c r="S35" s="3">
        <v>102</v>
      </c>
    </row>
    <row r="36" spans="15:19" x14ac:dyDescent="0.3">
      <c r="O36" t="s">
        <v>2</v>
      </c>
      <c r="P36" t="s">
        <v>35</v>
      </c>
      <c r="Q36" t="s">
        <v>19</v>
      </c>
      <c r="R36" s="2">
        <v>553</v>
      </c>
      <c r="S36" s="3">
        <v>15</v>
      </c>
    </row>
    <row r="37" spans="15:19" x14ac:dyDescent="0.3">
      <c r="O37" t="s">
        <v>8</v>
      </c>
      <c r="P37" t="s">
        <v>39</v>
      </c>
      <c r="Q37" t="s">
        <v>30</v>
      </c>
      <c r="R37" s="2">
        <v>7021</v>
      </c>
      <c r="S37" s="3">
        <v>183</v>
      </c>
    </row>
    <row r="38" spans="15:19" x14ac:dyDescent="0.3">
      <c r="O38" t="s">
        <v>40</v>
      </c>
      <c r="P38" t="s">
        <v>39</v>
      </c>
      <c r="Q38" t="s">
        <v>22</v>
      </c>
      <c r="R38" s="2">
        <v>5817</v>
      </c>
      <c r="S38" s="3">
        <v>12</v>
      </c>
    </row>
    <row r="39" spans="15:19" x14ac:dyDescent="0.3">
      <c r="O39" t="s">
        <v>41</v>
      </c>
      <c r="P39" t="s">
        <v>39</v>
      </c>
      <c r="Q39" t="s">
        <v>14</v>
      </c>
      <c r="R39" s="2">
        <v>3976</v>
      </c>
      <c r="S39" s="3">
        <v>72</v>
      </c>
    </row>
    <row r="40" spans="15:19" x14ac:dyDescent="0.3">
      <c r="O40" t="s">
        <v>6</v>
      </c>
      <c r="P40" t="s">
        <v>38</v>
      </c>
      <c r="Q40" t="s">
        <v>27</v>
      </c>
      <c r="R40" s="2">
        <v>1134</v>
      </c>
      <c r="S40" s="3">
        <v>282</v>
      </c>
    </row>
    <row r="41" spans="15:19" x14ac:dyDescent="0.3">
      <c r="O41" t="s">
        <v>2</v>
      </c>
      <c r="P41" t="s">
        <v>39</v>
      </c>
      <c r="Q41" t="s">
        <v>28</v>
      </c>
      <c r="R41" s="2">
        <v>6027</v>
      </c>
      <c r="S41" s="3">
        <v>144</v>
      </c>
    </row>
    <row r="42" spans="15:19" x14ac:dyDescent="0.3">
      <c r="O42" t="s">
        <v>6</v>
      </c>
      <c r="P42" t="s">
        <v>37</v>
      </c>
      <c r="Q42" t="s">
        <v>16</v>
      </c>
      <c r="R42" s="2">
        <v>1904</v>
      </c>
      <c r="S42" s="3">
        <v>405</v>
      </c>
    </row>
    <row r="43" spans="15:19" x14ac:dyDescent="0.3">
      <c r="O43" t="s">
        <v>7</v>
      </c>
      <c r="P43" t="s">
        <v>34</v>
      </c>
      <c r="Q43" t="s">
        <v>32</v>
      </c>
      <c r="R43" s="2">
        <v>3262</v>
      </c>
      <c r="S43" s="3">
        <v>75</v>
      </c>
    </row>
    <row r="44" spans="15:19" x14ac:dyDescent="0.3">
      <c r="O44" t="s">
        <v>40</v>
      </c>
      <c r="P44" t="s">
        <v>34</v>
      </c>
      <c r="Q44" t="s">
        <v>27</v>
      </c>
      <c r="R44" s="2">
        <v>2289</v>
      </c>
      <c r="S44" s="3">
        <v>135</v>
      </c>
    </row>
    <row r="45" spans="15:19" x14ac:dyDescent="0.3">
      <c r="O45" t="s">
        <v>5</v>
      </c>
      <c r="P45" t="s">
        <v>34</v>
      </c>
      <c r="Q45" t="s">
        <v>27</v>
      </c>
      <c r="R45" s="2">
        <v>6986</v>
      </c>
      <c r="S45" s="3">
        <v>21</v>
      </c>
    </row>
    <row r="46" spans="15:19" x14ac:dyDescent="0.3">
      <c r="O46" t="s">
        <v>2</v>
      </c>
      <c r="P46" t="s">
        <v>38</v>
      </c>
      <c r="Q46" t="s">
        <v>23</v>
      </c>
      <c r="R46" s="2">
        <v>4417</v>
      </c>
      <c r="S46" s="3">
        <v>153</v>
      </c>
    </row>
    <row r="47" spans="15:19" x14ac:dyDescent="0.3">
      <c r="O47" t="s">
        <v>6</v>
      </c>
      <c r="P47" t="s">
        <v>34</v>
      </c>
      <c r="Q47" t="s">
        <v>15</v>
      </c>
      <c r="R47" s="2">
        <v>1442</v>
      </c>
      <c r="S47" s="3">
        <v>15</v>
      </c>
    </row>
    <row r="48" spans="15:19" x14ac:dyDescent="0.3">
      <c r="O48" t="s">
        <v>3</v>
      </c>
      <c r="P48" t="s">
        <v>35</v>
      </c>
      <c r="Q48" t="s">
        <v>14</v>
      </c>
      <c r="R48" s="2">
        <v>2415</v>
      </c>
      <c r="S48" s="3">
        <v>255</v>
      </c>
    </row>
    <row r="49" spans="15:19" x14ac:dyDescent="0.3">
      <c r="O49" t="s">
        <v>2</v>
      </c>
      <c r="P49" t="s">
        <v>37</v>
      </c>
      <c r="Q49" t="s">
        <v>19</v>
      </c>
      <c r="R49" s="2">
        <v>238</v>
      </c>
      <c r="S49" s="3">
        <v>18</v>
      </c>
    </row>
    <row r="50" spans="15:19" x14ac:dyDescent="0.3">
      <c r="O50" t="s">
        <v>6</v>
      </c>
      <c r="P50" t="s">
        <v>37</v>
      </c>
      <c r="Q50" t="s">
        <v>23</v>
      </c>
      <c r="R50" s="2">
        <v>4949</v>
      </c>
      <c r="S50" s="3">
        <v>189</v>
      </c>
    </row>
    <row r="51" spans="15:19" x14ac:dyDescent="0.3">
      <c r="O51" t="s">
        <v>5</v>
      </c>
      <c r="P51" t="s">
        <v>38</v>
      </c>
      <c r="Q51" t="s">
        <v>32</v>
      </c>
      <c r="R51" s="2">
        <v>5075</v>
      </c>
      <c r="S51" s="3">
        <v>21</v>
      </c>
    </row>
    <row r="52" spans="15:19" x14ac:dyDescent="0.3">
      <c r="O52" t="s">
        <v>3</v>
      </c>
      <c r="P52" t="s">
        <v>36</v>
      </c>
      <c r="Q52" t="s">
        <v>16</v>
      </c>
      <c r="R52" s="2">
        <v>9198</v>
      </c>
      <c r="S52" s="3">
        <v>36</v>
      </c>
    </row>
    <row r="53" spans="15:19" x14ac:dyDescent="0.3">
      <c r="O53" t="s">
        <v>6</v>
      </c>
      <c r="P53" t="s">
        <v>34</v>
      </c>
      <c r="Q53" t="s">
        <v>29</v>
      </c>
      <c r="R53" s="2">
        <v>3339</v>
      </c>
      <c r="S53" s="3">
        <v>75</v>
      </c>
    </row>
    <row r="54" spans="15:19" x14ac:dyDescent="0.3">
      <c r="O54" t="s">
        <v>40</v>
      </c>
      <c r="P54" t="s">
        <v>34</v>
      </c>
      <c r="Q54" t="s">
        <v>17</v>
      </c>
      <c r="R54" s="2">
        <v>5019</v>
      </c>
      <c r="S54" s="3">
        <v>156</v>
      </c>
    </row>
    <row r="55" spans="15:19" x14ac:dyDescent="0.3">
      <c r="O55" t="s">
        <v>5</v>
      </c>
      <c r="P55" t="s">
        <v>36</v>
      </c>
      <c r="Q55" t="s">
        <v>16</v>
      </c>
      <c r="R55" s="2">
        <v>16184</v>
      </c>
      <c r="S55" s="3">
        <v>39</v>
      </c>
    </row>
    <row r="56" spans="15:19" x14ac:dyDescent="0.3">
      <c r="O56" t="s">
        <v>6</v>
      </c>
      <c r="P56" t="s">
        <v>36</v>
      </c>
      <c r="Q56" t="s">
        <v>21</v>
      </c>
      <c r="R56" s="2">
        <v>497</v>
      </c>
      <c r="S56" s="3">
        <v>63</v>
      </c>
    </row>
    <row r="57" spans="15:19" x14ac:dyDescent="0.3">
      <c r="O57" t="s">
        <v>2</v>
      </c>
      <c r="P57" t="s">
        <v>36</v>
      </c>
      <c r="Q57" t="s">
        <v>29</v>
      </c>
      <c r="R57" s="2">
        <v>8211</v>
      </c>
      <c r="S57" s="3">
        <v>75</v>
      </c>
    </row>
    <row r="58" spans="15:19" x14ac:dyDescent="0.3">
      <c r="O58" t="s">
        <v>2</v>
      </c>
      <c r="P58" t="s">
        <v>38</v>
      </c>
      <c r="Q58" t="s">
        <v>28</v>
      </c>
      <c r="R58" s="2">
        <v>6580</v>
      </c>
      <c r="S58" s="3">
        <v>183</v>
      </c>
    </row>
    <row r="59" spans="15:19" x14ac:dyDescent="0.3">
      <c r="O59" t="s">
        <v>41</v>
      </c>
      <c r="P59" t="s">
        <v>35</v>
      </c>
      <c r="Q59" t="s">
        <v>13</v>
      </c>
      <c r="R59" s="2">
        <v>4760</v>
      </c>
      <c r="S59" s="3">
        <v>69</v>
      </c>
    </row>
    <row r="60" spans="15:19" x14ac:dyDescent="0.3">
      <c r="O60" t="s">
        <v>40</v>
      </c>
      <c r="P60" t="s">
        <v>36</v>
      </c>
      <c r="Q60" t="s">
        <v>25</v>
      </c>
      <c r="R60" s="2">
        <v>5439</v>
      </c>
      <c r="S60" s="3">
        <v>30</v>
      </c>
    </row>
    <row r="61" spans="15:19" x14ac:dyDescent="0.3">
      <c r="O61" t="s">
        <v>41</v>
      </c>
      <c r="P61" t="s">
        <v>34</v>
      </c>
      <c r="Q61" t="s">
        <v>17</v>
      </c>
      <c r="R61" s="2">
        <v>1463</v>
      </c>
      <c r="S61" s="3">
        <v>39</v>
      </c>
    </row>
    <row r="62" spans="15:19" x14ac:dyDescent="0.3">
      <c r="O62" t="s">
        <v>3</v>
      </c>
      <c r="P62" t="s">
        <v>34</v>
      </c>
      <c r="Q62" t="s">
        <v>32</v>
      </c>
      <c r="R62" s="2">
        <v>7777</v>
      </c>
      <c r="S62" s="3">
        <v>504</v>
      </c>
    </row>
    <row r="63" spans="15:19" x14ac:dyDescent="0.3">
      <c r="O63" t="s">
        <v>9</v>
      </c>
      <c r="P63" t="s">
        <v>37</v>
      </c>
      <c r="Q63" t="s">
        <v>29</v>
      </c>
      <c r="R63" s="2">
        <v>1085</v>
      </c>
      <c r="S63" s="3">
        <v>273</v>
      </c>
    </row>
    <row r="64" spans="15:19" x14ac:dyDescent="0.3">
      <c r="O64" t="s">
        <v>5</v>
      </c>
      <c r="P64" t="s">
        <v>37</v>
      </c>
      <c r="Q64" t="s">
        <v>31</v>
      </c>
      <c r="R64" s="2">
        <v>182</v>
      </c>
      <c r="S64" s="3">
        <v>48</v>
      </c>
    </row>
    <row r="65" spans="15:19" x14ac:dyDescent="0.3">
      <c r="O65" t="s">
        <v>6</v>
      </c>
      <c r="P65" t="s">
        <v>34</v>
      </c>
      <c r="Q65" t="s">
        <v>27</v>
      </c>
      <c r="R65" s="2">
        <v>4242</v>
      </c>
      <c r="S65" s="3">
        <v>207</v>
      </c>
    </row>
    <row r="66" spans="15:19" x14ac:dyDescent="0.3">
      <c r="O66" t="s">
        <v>6</v>
      </c>
      <c r="P66" t="s">
        <v>36</v>
      </c>
      <c r="Q66" t="s">
        <v>32</v>
      </c>
      <c r="R66" s="2">
        <v>6118</v>
      </c>
      <c r="S66" s="3">
        <v>9</v>
      </c>
    </row>
    <row r="67" spans="15:19" x14ac:dyDescent="0.3">
      <c r="O67" t="s">
        <v>10</v>
      </c>
      <c r="P67" t="s">
        <v>36</v>
      </c>
      <c r="Q67" t="s">
        <v>23</v>
      </c>
      <c r="R67" s="2">
        <v>2317</v>
      </c>
      <c r="S67" s="3">
        <v>261</v>
      </c>
    </row>
    <row r="68" spans="15:19" x14ac:dyDescent="0.3">
      <c r="O68" t="s">
        <v>6</v>
      </c>
      <c r="P68" t="s">
        <v>38</v>
      </c>
      <c r="Q68" t="s">
        <v>16</v>
      </c>
      <c r="R68" s="2">
        <v>938</v>
      </c>
      <c r="S68" s="3">
        <v>6</v>
      </c>
    </row>
    <row r="69" spans="15:19" x14ac:dyDescent="0.3">
      <c r="O69" t="s">
        <v>8</v>
      </c>
      <c r="P69" t="s">
        <v>37</v>
      </c>
      <c r="Q69" t="s">
        <v>15</v>
      </c>
      <c r="R69" s="2">
        <v>9709</v>
      </c>
      <c r="S69" s="3">
        <v>30</v>
      </c>
    </row>
    <row r="70" spans="15:19" x14ac:dyDescent="0.3">
      <c r="O70" t="s">
        <v>7</v>
      </c>
      <c r="P70" t="s">
        <v>34</v>
      </c>
      <c r="Q70" t="s">
        <v>20</v>
      </c>
      <c r="R70" s="2">
        <v>2205</v>
      </c>
      <c r="S70" s="3">
        <v>138</v>
      </c>
    </row>
    <row r="71" spans="15:19" x14ac:dyDescent="0.3">
      <c r="O71" t="s">
        <v>7</v>
      </c>
      <c r="P71" t="s">
        <v>37</v>
      </c>
      <c r="Q71" t="s">
        <v>17</v>
      </c>
      <c r="R71" s="2">
        <v>4487</v>
      </c>
      <c r="S71" s="3">
        <v>111</v>
      </c>
    </row>
    <row r="72" spans="15:19" x14ac:dyDescent="0.3">
      <c r="O72" t="s">
        <v>5</v>
      </c>
      <c r="P72" t="s">
        <v>35</v>
      </c>
      <c r="Q72" t="s">
        <v>18</v>
      </c>
      <c r="R72" s="2">
        <v>2415</v>
      </c>
      <c r="S72" s="3">
        <v>15</v>
      </c>
    </row>
    <row r="73" spans="15:19" x14ac:dyDescent="0.3">
      <c r="O73" t="s">
        <v>40</v>
      </c>
      <c r="P73" t="s">
        <v>34</v>
      </c>
      <c r="Q73" t="s">
        <v>19</v>
      </c>
      <c r="R73" s="2">
        <v>4018</v>
      </c>
      <c r="S73" s="3">
        <v>162</v>
      </c>
    </row>
    <row r="74" spans="15:19" x14ac:dyDescent="0.3">
      <c r="O74" t="s">
        <v>5</v>
      </c>
      <c r="P74" t="s">
        <v>34</v>
      </c>
      <c r="Q74" t="s">
        <v>19</v>
      </c>
      <c r="R74" s="2">
        <v>861</v>
      </c>
      <c r="S74" s="3">
        <v>195</v>
      </c>
    </row>
    <row r="75" spans="15:19" x14ac:dyDescent="0.3">
      <c r="O75" t="s">
        <v>10</v>
      </c>
      <c r="P75" t="s">
        <v>38</v>
      </c>
      <c r="Q75" t="s">
        <v>14</v>
      </c>
      <c r="R75" s="2">
        <v>5586</v>
      </c>
      <c r="S75" s="3">
        <v>525</v>
      </c>
    </row>
    <row r="76" spans="15:19" x14ac:dyDescent="0.3">
      <c r="O76" t="s">
        <v>7</v>
      </c>
      <c r="P76" t="s">
        <v>34</v>
      </c>
      <c r="Q76" t="s">
        <v>33</v>
      </c>
      <c r="R76" s="2">
        <v>2226</v>
      </c>
      <c r="S76" s="3">
        <v>48</v>
      </c>
    </row>
    <row r="77" spans="15:19" x14ac:dyDescent="0.3">
      <c r="O77" t="s">
        <v>9</v>
      </c>
      <c r="P77" t="s">
        <v>34</v>
      </c>
      <c r="Q77" t="s">
        <v>28</v>
      </c>
      <c r="R77" s="2">
        <v>14329</v>
      </c>
      <c r="S77" s="3">
        <v>150</v>
      </c>
    </row>
    <row r="78" spans="15:19" x14ac:dyDescent="0.3">
      <c r="O78" t="s">
        <v>9</v>
      </c>
      <c r="P78" t="s">
        <v>34</v>
      </c>
      <c r="Q78" t="s">
        <v>20</v>
      </c>
      <c r="R78" s="2">
        <v>8463</v>
      </c>
      <c r="S78" s="3">
        <v>492</v>
      </c>
    </row>
    <row r="79" spans="15:19" x14ac:dyDescent="0.3">
      <c r="O79" t="s">
        <v>5</v>
      </c>
      <c r="P79" t="s">
        <v>34</v>
      </c>
      <c r="Q79" t="s">
        <v>29</v>
      </c>
      <c r="R79" s="2">
        <v>2891</v>
      </c>
      <c r="S79" s="3">
        <v>102</v>
      </c>
    </row>
    <row r="80" spans="15:19" x14ac:dyDescent="0.3">
      <c r="O80" t="s">
        <v>3</v>
      </c>
      <c r="P80" t="s">
        <v>36</v>
      </c>
      <c r="Q80" t="s">
        <v>23</v>
      </c>
      <c r="R80" s="2">
        <v>3773</v>
      </c>
      <c r="S80" s="3">
        <v>165</v>
      </c>
    </row>
    <row r="81" spans="15:19" x14ac:dyDescent="0.3">
      <c r="O81" t="s">
        <v>41</v>
      </c>
      <c r="P81" t="s">
        <v>36</v>
      </c>
      <c r="Q81" t="s">
        <v>28</v>
      </c>
      <c r="R81" s="2">
        <v>854</v>
      </c>
      <c r="S81" s="3">
        <v>309</v>
      </c>
    </row>
    <row r="82" spans="15:19" x14ac:dyDescent="0.3">
      <c r="O82" t="s">
        <v>6</v>
      </c>
      <c r="P82" t="s">
        <v>36</v>
      </c>
      <c r="Q82" t="s">
        <v>17</v>
      </c>
      <c r="R82" s="2">
        <v>4970</v>
      </c>
      <c r="S82" s="3">
        <v>156</v>
      </c>
    </row>
    <row r="83" spans="15:19" x14ac:dyDescent="0.3">
      <c r="O83" t="s">
        <v>9</v>
      </c>
      <c r="P83" t="s">
        <v>35</v>
      </c>
      <c r="Q83" t="s">
        <v>26</v>
      </c>
      <c r="R83" s="2">
        <v>98</v>
      </c>
      <c r="S83" s="3">
        <v>159</v>
      </c>
    </row>
    <row r="84" spans="15:19" x14ac:dyDescent="0.3">
      <c r="O84" t="s">
        <v>5</v>
      </c>
      <c r="P84" t="s">
        <v>35</v>
      </c>
      <c r="Q84" t="s">
        <v>15</v>
      </c>
      <c r="R84" s="2">
        <v>13391</v>
      </c>
      <c r="S84" s="3">
        <v>201</v>
      </c>
    </row>
    <row r="85" spans="15:19" x14ac:dyDescent="0.3">
      <c r="O85" t="s">
        <v>8</v>
      </c>
      <c r="P85" t="s">
        <v>39</v>
      </c>
      <c r="Q85" t="s">
        <v>31</v>
      </c>
      <c r="R85" s="2">
        <v>8890</v>
      </c>
      <c r="S85" s="3">
        <v>210</v>
      </c>
    </row>
    <row r="86" spans="15:19" x14ac:dyDescent="0.3">
      <c r="O86" t="s">
        <v>2</v>
      </c>
      <c r="P86" t="s">
        <v>38</v>
      </c>
      <c r="Q86" t="s">
        <v>13</v>
      </c>
      <c r="R86" s="2">
        <v>56</v>
      </c>
      <c r="S86" s="3">
        <v>51</v>
      </c>
    </row>
    <row r="87" spans="15:19" x14ac:dyDescent="0.3">
      <c r="O87" t="s">
        <v>3</v>
      </c>
      <c r="P87" t="s">
        <v>36</v>
      </c>
      <c r="Q87" t="s">
        <v>25</v>
      </c>
      <c r="R87" s="2">
        <v>3339</v>
      </c>
      <c r="S87" s="3">
        <v>39</v>
      </c>
    </row>
    <row r="88" spans="15:19" x14ac:dyDescent="0.3">
      <c r="O88" t="s">
        <v>10</v>
      </c>
      <c r="P88" t="s">
        <v>35</v>
      </c>
      <c r="Q88" t="s">
        <v>18</v>
      </c>
      <c r="R88" s="2">
        <v>3808</v>
      </c>
      <c r="S88" s="3">
        <v>279</v>
      </c>
    </row>
    <row r="89" spans="15:19" x14ac:dyDescent="0.3">
      <c r="O89" t="s">
        <v>10</v>
      </c>
      <c r="P89" t="s">
        <v>38</v>
      </c>
      <c r="Q89" t="s">
        <v>13</v>
      </c>
      <c r="R89" s="2">
        <v>63</v>
      </c>
      <c r="S89" s="3">
        <v>123</v>
      </c>
    </row>
    <row r="90" spans="15:19" x14ac:dyDescent="0.3">
      <c r="O90" t="s">
        <v>2</v>
      </c>
      <c r="P90" t="s">
        <v>39</v>
      </c>
      <c r="Q90" t="s">
        <v>27</v>
      </c>
      <c r="R90" s="2">
        <v>7812</v>
      </c>
      <c r="S90" s="3">
        <v>81</v>
      </c>
    </row>
    <row r="91" spans="15:19" x14ac:dyDescent="0.3">
      <c r="O91" t="s">
        <v>40</v>
      </c>
      <c r="P91" t="s">
        <v>37</v>
      </c>
      <c r="Q91" t="s">
        <v>19</v>
      </c>
      <c r="R91" s="2">
        <v>7693</v>
      </c>
      <c r="S91" s="3">
        <v>21</v>
      </c>
    </row>
    <row r="92" spans="15:19" x14ac:dyDescent="0.3">
      <c r="O92" t="s">
        <v>3</v>
      </c>
      <c r="P92" t="s">
        <v>36</v>
      </c>
      <c r="Q92" t="s">
        <v>28</v>
      </c>
      <c r="R92" s="2">
        <v>973</v>
      </c>
      <c r="S92" s="3">
        <v>162</v>
      </c>
    </row>
    <row r="93" spans="15:19" x14ac:dyDescent="0.3">
      <c r="O93" t="s">
        <v>10</v>
      </c>
      <c r="P93" t="s">
        <v>35</v>
      </c>
      <c r="Q93" t="s">
        <v>21</v>
      </c>
      <c r="R93" s="2">
        <v>567</v>
      </c>
      <c r="S93" s="3">
        <v>228</v>
      </c>
    </row>
    <row r="94" spans="15:19" x14ac:dyDescent="0.3">
      <c r="O94" t="s">
        <v>10</v>
      </c>
      <c r="P94" t="s">
        <v>36</v>
      </c>
      <c r="Q94" t="s">
        <v>29</v>
      </c>
      <c r="R94" s="2">
        <v>2471</v>
      </c>
      <c r="S94" s="3">
        <v>342</v>
      </c>
    </row>
    <row r="95" spans="15:19" x14ac:dyDescent="0.3">
      <c r="O95" t="s">
        <v>5</v>
      </c>
      <c r="P95" t="s">
        <v>38</v>
      </c>
      <c r="Q95" t="s">
        <v>13</v>
      </c>
      <c r="R95" s="2">
        <v>7189</v>
      </c>
      <c r="S95" s="3">
        <v>54</v>
      </c>
    </row>
    <row r="96" spans="15:19" x14ac:dyDescent="0.3">
      <c r="O96" t="s">
        <v>41</v>
      </c>
      <c r="P96" t="s">
        <v>35</v>
      </c>
      <c r="Q96" t="s">
        <v>28</v>
      </c>
      <c r="R96" s="2">
        <v>7455</v>
      </c>
      <c r="S96" s="3">
        <v>216</v>
      </c>
    </row>
    <row r="97" spans="15:19" x14ac:dyDescent="0.3">
      <c r="O97" t="s">
        <v>3</v>
      </c>
      <c r="P97" t="s">
        <v>34</v>
      </c>
      <c r="Q97" t="s">
        <v>26</v>
      </c>
      <c r="R97" s="2">
        <v>3108</v>
      </c>
      <c r="S97" s="3">
        <v>54</v>
      </c>
    </row>
    <row r="98" spans="15:19" x14ac:dyDescent="0.3">
      <c r="O98" t="s">
        <v>6</v>
      </c>
      <c r="P98" t="s">
        <v>38</v>
      </c>
      <c r="Q98" t="s">
        <v>25</v>
      </c>
      <c r="R98" s="2">
        <v>469</v>
      </c>
      <c r="S98" s="3">
        <v>75</v>
      </c>
    </row>
    <row r="99" spans="15:19" x14ac:dyDescent="0.3">
      <c r="O99" t="s">
        <v>9</v>
      </c>
      <c r="P99" t="s">
        <v>37</v>
      </c>
      <c r="Q99" t="s">
        <v>23</v>
      </c>
      <c r="R99" s="2">
        <v>2737</v>
      </c>
      <c r="S99" s="3">
        <v>93</v>
      </c>
    </row>
    <row r="100" spans="15:19" x14ac:dyDescent="0.3">
      <c r="O100" t="s">
        <v>9</v>
      </c>
      <c r="P100" t="s">
        <v>37</v>
      </c>
      <c r="Q100" t="s">
        <v>25</v>
      </c>
      <c r="R100" s="2">
        <v>4305</v>
      </c>
      <c r="S100" s="3">
        <v>156</v>
      </c>
    </row>
    <row r="101" spans="15:19" x14ac:dyDescent="0.3">
      <c r="O101" t="s">
        <v>9</v>
      </c>
      <c r="P101" t="s">
        <v>38</v>
      </c>
      <c r="Q101" t="s">
        <v>17</v>
      </c>
      <c r="R101" s="2">
        <v>2408</v>
      </c>
      <c r="S101" s="3">
        <v>9</v>
      </c>
    </row>
    <row r="102" spans="15:19" x14ac:dyDescent="0.3">
      <c r="O102" t="s">
        <v>3</v>
      </c>
      <c r="P102" t="s">
        <v>36</v>
      </c>
      <c r="Q102" t="s">
        <v>19</v>
      </c>
      <c r="R102" s="2">
        <v>1281</v>
      </c>
      <c r="S102" s="3">
        <v>18</v>
      </c>
    </row>
    <row r="103" spans="15:19" x14ac:dyDescent="0.3">
      <c r="O103" t="s">
        <v>40</v>
      </c>
      <c r="P103" t="s">
        <v>35</v>
      </c>
      <c r="Q103" t="s">
        <v>32</v>
      </c>
      <c r="R103" s="2">
        <v>12348</v>
      </c>
      <c r="S103" s="3">
        <v>234</v>
      </c>
    </row>
    <row r="104" spans="15:19" x14ac:dyDescent="0.3">
      <c r="O104" t="s">
        <v>3</v>
      </c>
      <c r="P104" t="s">
        <v>34</v>
      </c>
      <c r="Q104" t="s">
        <v>28</v>
      </c>
      <c r="R104" s="2">
        <v>3689</v>
      </c>
      <c r="S104" s="3">
        <v>312</v>
      </c>
    </row>
    <row r="105" spans="15:19" x14ac:dyDescent="0.3">
      <c r="O105" t="s">
        <v>7</v>
      </c>
      <c r="P105" t="s">
        <v>36</v>
      </c>
      <c r="Q105" t="s">
        <v>19</v>
      </c>
      <c r="R105" s="2">
        <v>2870</v>
      </c>
      <c r="S105" s="3">
        <v>300</v>
      </c>
    </row>
    <row r="106" spans="15:19" x14ac:dyDescent="0.3">
      <c r="O106" t="s">
        <v>2</v>
      </c>
      <c r="P106" t="s">
        <v>36</v>
      </c>
      <c r="Q106" t="s">
        <v>27</v>
      </c>
      <c r="R106" s="2">
        <v>798</v>
      </c>
      <c r="S106" s="3">
        <v>519</v>
      </c>
    </row>
    <row r="107" spans="15:19" x14ac:dyDescent="0.3">
      <c r="O107" t="s">
        <v>41</v>
      </c>
      <c r="P107" t="s">
        <v>37</v>
      </c>
      <c r="Q107" t="s">
        <v>21</v>
      </c>
      <c r="R107" s="2">
        <v>2933</v>
      </c>
      <c r="S107" s="3">
        <v>9</v>
      </c>
    </row>
    <row r="108" spans="15:19" x14ac:dyDescent="0.3">
      <c r="O108" t="s">
        <v>5</v>
      </c>
      <c r="P108" t="s">
        <v>35</v>
      </c>
      <c r="Q108" t="s">
        <v>4</v>
      </c>
      <c r="R108" s="2">
        <v>2744</v>
      </c>
      <c r="S108" s="3">
        <v>9</v>
      </c>
    </row>
    <row r="109" spans="15:19" x14ac:dyDescent="0.3">
      <c r="O109" t="s">
        <v>40</v>
      </c>
      <c r="P109" t="s">
        <v>36</v>
      </c>
      <c r="Q109" t="s">
        <v>33</v>
      </c>
      <c r="R109" s="2">
        <v>9772</v>
      </c>
      <c r="S109" s="3">
        <v>90</v>
      </c>
    </row>
    <row r="110" spans="15:19" x14ac:dyDescent="0.3">
      <c r="O110" t="s">
        <v>7</v>
      </c>
      <c r="P110" t="s">
        <v>34</v>
      </c>
      <c r="Q110" t="s">
        <v>25</v>
      </c>
      <c r="R110" s="2">
        <v>1568</v>
      </c>
      <c r="S110" s="3">
        <v>96</v>
      </c>
    </row>
    <row r="111" spans="15:19" x14ac:dyDescent="0.3">
      <c r="O111" t="s">
        <v>2</v>
      </c>
      <c r="P111" t="s">
        <v>36</v>
      </c>
      <c r="Q111" t="s">
        <v>16</v>
      </c>
      <c r="R111" s="2">
        <v>11417</v>
      </c>
      <c r="S111" s="3">
        <v>21</v>
      </c>
    </row>
    <row r="112" spans="15:19" x14ac:dyDescent="0.3">
      <c r="O112" t="s">
        <v>40</v>
      </c>
      <c r="P112" t="s">
        <v>34</v>
      </c>
      <c r="Q112" t="s">
        <v>26</v>
      </c>
      <c r="R112" s="2">
        <v>6748</v>
      </c>
      <c r="S112" s="3">
        <v>48</v>
      </c>
    </row>
    <row r="113" spans="15:19" x14ac:dyDescent="0.3">
      <c r="O113" t="s">
        <v>10</v>
      </c>
      <c r="P113" t="s">
        <v>36</v>
      </c>
      <c r="Q113" t="s">
        <v>27</v>
      </c>
      <c r="R113" s="2">
        <v>1407</v>
      </c>
      <c r="S113" s="3">
        <v>72</v>
      </c>
    </row>
    <row r="114" spans="15:19" x14ac:dyDescent="0.3">
      <c r="O114" t="s">
        <v>8</v>
      </c>
      <c r="P114" t="s">
        <v>35</v>
      </c>
      <c r="Q114" t="s">
        <v>29</v>
      </c>
      <c r="R114" s="2">
        <v>2023</v>
      </c>
      <c r="S114" s="3">
        <v>168</v>
      </c>
    </row>
    <row r="115" spans="15:19" x14ac:dyDescent="0.3">
      <c r="O115" t="s">
        <v>5</v>
      </c>
      <c r="P115" t="s">
        <v>39</v>
      </c>
      <c r="Q115" t="s">
        <v>26</v>
      </c>
      <c r="R115" s="2">
        <v>5236</v>
      </c>
      <c r="S115" s="3">
        <v>51</v>
      </c>
    </row>
    <row r="116" spans="15:19" x14ac:dyDescent="0.3">
      <c r="O116" t="s">
        <v>41</v>
      </c>
      <c r="P116" t="s">
        <v>36</v>
      </c>
      <c r="Q116" t="s">
        <v>19</v>
      </c>
      <c r="R116" s="2">
        <v>1925</v>
      </c>
      <c r="S116" s="3">
        <v>192</v>
      </c>
    </row>
    <row r="117" spans="15:19" x14ac:dyDescent="0.3">
      <c r="O117" t="s">
        <v>7</v>
      </c>
      <c r="P117" t="s">
        <v>37</v>
      </c>
      <c r="Q117" t="s">
        <v>14</v>
      </c>
      <c r="R117" s="2">
        <v>6608</v>
      </c>
      <c r="S117" s="3">
        <v>225</v>
      </c>
    </row>
    <row r="118" spans="15:19" x14ac:dyDescent="0.3">
      <c r="O118" t="s">
        <v>6</v>
      </c>
      <c r="P118" t="s">
        <v>34</v>
      </c>
      <c r="Q118" t="s">
        <v>26</v>
      </c>
      <c r="R118" s="2">
        <v>8008</v>
      </c>
      <c r="S118" s="3">
        <v>456</v>
      </c>
    </row>
    <row r="119" spans="15:19" x14ac:dyDescent="0.3">
      <c r="O119" t="s">
        <v>10</v>
      </c>
      <c r="P119" t="s">
        <v>34</v>
      </c>
      <c r="Q119" t="s">
        <v>25</v>
      </c>
      <c r="R119" s="2">
        <v>1428</v>
      </c>
      <c r="S119" s="3">
        <v>93</v>
      </c>
    </row>
    <row r="120" spans="15:19" x14ac:dyDescent="0.3">
      <c r="O120" t="s">
        <v>6</v>
      </c>
      <c r="P120" t="s">
        <v>34</v>
      </c>
      <c r="Q120" t="s">
        <v>4</v>
      </c>
      <c r="R120" s="2">
        <v>525</v>
      </c>
      <c r="S120" s="3">
        <v>48</v>
      </c>
    </row>
    <row r="121" spans="15:19" x14ac:dyDescent="0.3">
      <c r="O121" t="s">
        <v>6</v>
      </c>
      <c r="P121" t="s">
        <v>37</v>
      </c>
      <c r="Q121" t="s">
        <v>18</v>
      </c>
      <c r="R121" s="2">
        <v>1505</v>
      </c>
      <c r="S121" s="3">
        <v>102</v>
      </c>
    </row>
    <row r="122" spans="15:19" x14ac:dyDescent="0.3">
      <c r="O122" t="s">
        <v>7</v>
      </c>
      <c r="P122" t="s">
        <v>35</v>
      </c>
      <c r="Q122" t="s">
        <v>30</v>
      </c>
      <c r="R122" s="2">
        <v>6755</v>
      </c>
      <c r="S122" s="3">
        <v>252</v>
      </c>
    </row>
    <row r="123" spans="15:19" x14ac:dyDescent="0.3">
      <c r="O123" t="s">
        <v>2</v>
      </c>
      <c r="P123" t="s">
        <v>37</v>
      </c>
      <c r="Q123" t="s">
        <v>18</v>
      </c>
      <c r="R123" s="2">
        <v>11571</v>
      </c>
      <c r="S123" s="3">
        <v>138</v>
      </c>
    </row>
    <row r="124" spans="15:19" x14ac:dyDescent="0.3">
      <c r="O124" t="s">
        <v>40</v>
      </c>
      <c r="P124" t="s">
        <v>38</v>
      </c>
      <c r="Q124" t="s">
        <v>25</v>
      </c>
      <c r="R124" s="2">
        <v>2541</v>
      </c>
      <c r="S124" s="3">
        <v>90</v>
      </c>
    </row>
    <row r="125" spans="15:19" x14ac:dyDescent="0.3">
      <c r="O125" t="s">
        <v>41</v>
      </c>
      <c r="P125" t="s">
        <v>37</v>
      </c>
      <c r="Q125" t="s">
        <v>30</v>
      </c>
      <c r="R125" s="2">
        <v>1526</v>
      </c>
      <c r="S125" s="3">
        <v>240</v>
      </c>
    </row>
    <row r="126" spans="15:19" x14ac:dyDescent="0.3">
      <c r="O126" t="s">
        <v>40</v>
      </c>
      <c r="P126" t="s">
        <v>38</v>
      </c>
      <c r="Q126" t="s">
        <v>4</v>
      </c>
      <c r="R126" s="2">
        <v>6125</v>
      </c>
      <c r="S126" s="3">
        <v>102</v>
      </c>
    </row>
    <row r="127" spans="15:19" x14ac:dyDescent="0.3">
      <c r="O127" t="s">
        <v>41</v>
      </c>
      <c r="P127" t="s">
        <v>35</v>
      </c>
      <c r="Q127" t="s">
        <v>27</v>
      </c>
      <c r="R127" s="2">
        <v>847</v>
      </c>
      <c r="S127" s="3">
        <v>129</v>
      </c>
    </row>
    <row r="128" spans="15:19" x14ac:dyDescent="0.3">
      <c r="O128" t="s">
        <v>8</v>
      </c>
      <c r="P128" t="s">
        <v>35</v>
      </c>
      <c r="Q128" t="s">
        <v>27</v>
      </c>
      <c r="R128" s="2">
        <v>4753</v>
      </c>
      <c r="S128" s="3">
        <v>300</v>
      </c>
    </row>
    <row r="129" spans="15:19" x14ac:dyDescent="0.3">
      <c r="O129" t="s">
        <v>6</v>
      </c>
      <c r="P129" t="s">
        <v>38</v>
      </c>
      <c r="Q129" t="s">
        <v>33</v>
      </c>
      <c r="R129" s="2">
        <v>959</v>
      </c>
      <c r="S129" s="3">
        <v>135</v>
      </c>
    </row>
    <row r="130" spans="15:19" x14ac:dyDescent="0.3">
      <c r="O130" t="s">
        <v>7</v>
      </c>
      <c r="P130" t="s">
        <v>35</v>
      </c>
      <c r="Q130" t="s">
        <v>24</v>
      </c>
      <c r="R130" s="2">
        <v>2793</v>
      </c>
      <c r="S130" s="3">
        <v>114</v>
      </c>
    </row>
    <row r="131" spans="15:19" x14ac:dyDescent="0.3">
      <c r="O131" t="s">
        <v>7</v>
      </c>
      <c r="P131" t="s">
        <v>35</v>
      </c>
      <c r="Q131" t="s">
        <v>14</v>
      </c>
      <c r="R131" s="2">
        <v>4606</v>
      </c>
      <c r="S131" s="3">
        <v>63</v>
      </c>
    </row>
    <row r="132" spans="15:19" x14ac:dyDescent="0.3">
      <c r="O132" t="s">
        <v>7</v>
      </c>
      <c r="P132" t="s">
        <v>36</v>
      </c>
      <c r="Q132" t="s">
        <v>29</v>
      </c>
      <c r="R132" s="2">
        <v>5551</v>
      </c>
      <c r="S132" s="3">
        <v>252</v>
      </c>
    </row>
    <row r="133" spans="15:19" x14ac:dyDescent="0.3">
      <c r="O133" t="s">
        <v>10</v>
      </c>
      <c r="P133" t="s">
        <v>36</v>
      </c>
      <c r="Q133" t="s">
        <v>32</v>
      </c>
      <c r="R133" s="2">
        <v>6657</v>
      </c>
      <c r="S133" s="3">
        <v>303</v>
      </c>
    </row>
    <row r="134" spans="15:19" x14ac:dyDescent="0.3">
      <c r="O134" t="s">
        <v>7</v>
      </c>
      <c r="P134" t="s">
        <v>39</v>
      </c>
      <c r="Q134" t="s">
        <v>17</v>
      </c>
      <c r="R134" s="2">
        <v>4438</v>
      </c>
      <c r="S134" s="3">
        <v>246</v>
      </c>
    </row>
    <row r="135" spans="15:19" x14ac:dyDescent="0.3">
      <c r="O135" t="s">
        <v>8</v>
      </c>
      <c r="P135" t="s">
        <v>38</v>
      </c>
      <c r="Q135" t="s">
        <v>22</v>
      </c>
      <c r="R135" s="2">
        <v>168</v>
      </c>
      <c r="S135" s="3">
        <v>84</v>
      </c>
    </row>
    <row r="136" spans="15:19" x14ac:dyDescent="0.3">
      <c r="O136" t="s">
        <v>7</v>
      </c>
      <c r="P136" t="s">
        <v>34</v>
      </c>
      <c r="Q136" t="s">
        <v>17</v>
      </c>
      <c r="R136" s="2">
        <v>7777</v>
      </c>
      <c r="S136" s="3">
        <v>39</v>
      </c>
    </row>
    <row r="137" spans="15:19" x14ac:dyDescent="0.3">
      <c r="O137" t="s">
        <v>5</v>
      </c>
      <c r="P137" t="s">
        <v>36</v>
      </c>
      <c r="Q137" t="s">
        <v>17</v>
      </c>
      <c r="R137" s="2">
        <v>3339</v>
      </c>
      <c r="S137" s="3">
        <v>348</v>
      </c>
    </row>
    <row r="138" spans="15:19" x14ac:dyDescent="0.3">
      <c r="O138" t="s">
        <v>7</v>
      </c>
      <c r="P138" t="s">
        <v>37</v>
      </c>
      <c r="Q138" t="s">
        <v>33</v>
      </c>
      <c r="R138" s="2">
        <v>6391</v>
      </c>
      <c r="S138" s="3">
        <v>48</v>
      </c>
    </row>
    <row r="139" spans="15:19" x14ac:dyDescent="0.3">
      <c r="O139" t="s">
        <v>5</v>
      </c>
      <c r="P139" t="s">
        <v>37</v>
      </c>
      <c r="Q139" t="s">
        <v>22</v>
      </c>
      <c r="R139" s="2">
        <v>518</v>
      </c>
      <c r="S139" s="3">
        <v>75</v>
      </c>
    </row>
    <row r="140" spans="15:19" x14ac:dyDescent="0.3">
      <c r="O140" t="s">
        <v>7</v>
      </c>
      <c r="P140" t="s">
        <v>38</v>
      </c>
      <c r="Q140" t="s">
        <v>28</v>
      </c>
      <c r="R140" s="2">
        <v>5677</v>
      </c>
      <c r="S140" s="3">
        <v>258</v>
      </c>
    </row>
    <row r="141" spans="15:19" x14ac:dyDescent="0.3">
      <c r="O141" t="s">
        <v>6</v>
      </c>
      <c r="P141" t="s">
        <v>39</v>
      </c>
      <c r="Q141" t="s">
        <v>17</v>
      </c>
      <c r="R141" s="2">
        <v>6048</v>
      </c>
      <c r="S141" s="3">
        <v>27</v>
      </c>
    </row>
    <row r="142" spans="15:19" x14ac:dyDescent="0.3">
      <c r="O142" t="s">
        <v>8</v>
      </c>
      <c r="P142" t="s">
        <v>38</v>
      </c>
      <c r="Q142" t="s">
        <v>32</v>
      </c>
      <c r="R142" s="2">
        <v>3752</v>
      </c>
      <c r="S142" s="3">
        <v>213</v>
      </c>
    </row>
    <row r="143" spans="15:19" x14ac:dyDescent="0.3">
      <c r="O143" t="s">
        <v>5</v>
      </c>
      <c r="P143" t="s">
        <v>35</v>
      </c>
      <c r="Q143" t="s">
        <v>29</v>
      </c>
      <c r="R143" s="2">
        <v>4480</v>
      </c>
      <c r="S143" s="3">
        <v>357</v>
      </c>
    </row>
    <row r="144" spans="15:19" x14ac:dyDescent="0.3">
      <c r="O144" t="s">
        <v>9</v>
      </c>
      <c r="P144" t="s">
        <v>37</v>
      </c>
      <c r="Q144" t="s">
        <v>4</v>
      </c>
      <c r="R144" s="2">
        <v>259</v>
      </c>
      <c r="S144" s="3">
        <v>207</v>
      </c>
    </row>
    <row r="145" spans="15:19" x14ac:dyDescent="0.3">
      <c r="O145" t="s">
        <v>8</v>
      </c>
      <c r="P145" t="s">
        <v>37</v>
      </c>
      <c r="Q145" t="s">
        <v>30</v>
      </c>
      <c r="R145" s="2">
        <v>42</v>
      </c>
      <c r="S145" s="3">
        <v>150</v>
      </c>
    </row>
    <row r="146" spans="15:19" x14ac:dyDescent="0.3">
      <c r="O146" t="s">
        <v>41</v>
      </c>
      <c r="P146" t="s">
        <v>36</v>
      </c>
      <c r="Q146" t="s">
        <v>26</v>
      </c>
      <c r="R146" s="2">
        <v>98</v>
      </c>
      <c r="S146" s="3">
        <v>204</v>
      </c>
    </row>
    <row r="147" spans="15:19" x14ac:dyDescent="0.3">
      <c r="O147" t="s">
        <v>7</v>
      </c>
      <c r="P147" t="s">
        <v>35</v>
      </c>
      <c r="Q147" t="s">
        <v>27</v>
      </c>
      <c r="R147" s="2">
        <v>2478</v>
      </c>
      <c r="S147" s="3">
        <v>21</v>
      </c>
    </row>
    <row r="148" spans="15:19" x14ac:dyDescent="0.3">
      <c r="O148" t="s">
        <v>41</v>
      </c>
      <c r="P148" t="s">
        <v>34</v>
      </c>
      <c r="Q148" t="s">
        <v>33</v>
      </c>
      <c r="R148" s="2">
        <v>7847</v>
      </c>
      <c r="S148" s="3">
        <v>174</v>
      </c>
    </row>
    <row r="149" spans="15:19" x14ac:dyDescent="0.3">
      <c r="O149" t="s">
        <v>2</v>
      </c>
      <c r="P149" t="s">
        <v>37</v>
      </c>
      <c r="Q149" t="s">
        <v>17</v>
      </c>
      <c r="R149" s="2">
        <v>9926</v>
      </c>
      <c r="S149" s="3">
        <v>201</v>
      </c>
    </row>
    <row r="150" spans="15:19" x14ac:dyDescent="0.3">
      <c r="O150" t="s">
        <v>8</v>
      </c>
      <c r="P150" t="s">
        <v>38</v>
      </c>
      <c r="Q150" t="s">
        <v>13</v>
      </c>
      <c r="R150" s="2">
        <v>819</v>
      </c>
      <c r="S150" s="3">
        <v>510</v>
      </c>
    </row>
    <row r="151" spans="15:19" x14ac:dyDescent="0.3">
      <c r="O151" t="s">
        <v>6</v>
      </c>
      <c r="P151" t="s">
        <v>39</v>
      </c>
      <c r="Q151" t="s">
        <v>29</v>
      </c>
      <c r="R151" s="2">
        <v>3052</v>
      </c>
      <c r="S151" s="3">
        <v>378</v>
      </c>
    </row>
    <row r="152" spans="15:19" x14ac:dyDescent="0.3">
      <c r="O152" t="s">
        <v>9</v>
      </c>
      <c r="P152" t="s">
        <v>34</v>
      </c>
      <c r="Q152" t="s">
        <v>21</v>
      </c>
      <c r="R152" s="2">
        <v>6832</v>
      </c>
      <c r="S152" s="3">
        <v>27</v>
      </c>
    </row>
    <row r="153" spans="15:19" x14ac:dyDescent="0.3">
      <c r="O153" t="s">
        <v>2</v>
      </c>
      <c r="P153" t="s">
        <v>39</v>
      </c>
      <c r="Q153" t="s">
        <v>16</v>
      </c>
      <c r="R153" s="2">
        <v>2016</v>
      </c>
      <c r="S153" s="3">
        <v>117</v>
      </c>
    </row>
    <row r="154" spans="15:19" x14ac:dyDescent="0.3">
      <c r="O154" t="s">
        <v>6</v>
      </c>
      <c r="P154" t="s">
        <v>38</v>
      </c>
      <c r="Q154" t="s">
        <v>21</v>
      </c>
      <c r="R154" s="2">
        <v>7322</v>
      </c>
      <c r="S154" s="3">
        <v>36</v>
      </c>
    </row>
    <row r="155" spans="15:19" x14ac:dyDescent="0.3">
      <c r="O155" t="s">
        <v>8</v>
      </c>
      <c r="P155" t="s">
        <v>35</v>
      </c>
      <c r="Q155" t="s">
        <v>33</v>
      </c>
      <c r="R155" s="2">
        <v>357</v>
      </c>
      <c r="S155" s="3">
        <v>126</v>
      </c>
    </row>
    <row r="156" spans="15:19" x14ac:dyDescent="0.3">
      <c r="O156" t="s">
        <v>9</v>
      </c>
      <c r="P156" t="s">
        <v>39</v>
      </c>
      <c r="Q156" t="s">
        <v>25</v>
      </c>
      <c r="R156" s="2">
        <v>3192</v>
      </c>
      <c r="S156" s="3">
        <v>72</v>
      </c>
    </row>
    <row r="157" spans="15:19" x14ac:dyDescent="0.3">
      <c r="O157" t="s">
        <v>7</v>
      </c>
      <c r="P157" t="s">
        <v>36</v>
      </c>
      <c r="Q157" t="s">
        <v>22</v>
      </c>
      <c r="R157" s="2">
        <v>8435</v>
      </c>
      <c r="S157" s="3">
        <v>42</v>
      </c>
    </row>
    <row r="158" spans="15:19" x14ac:dyDescent="0.3">
      <c r="O158" t="s">
        <v>40</v>
      </c>
      <c r="P158" t="s">
        <v>39</v>
      </c>
      <c r="Q158" t="s">
        <v>29</v>
      </c>
      <c r="R158" s="2">
        <v>0</v>
      </c>
      <c r="S158" s="3">
        <v>135</v>
      </c>
    </row>
    <row r="159" spans="15:19" x14ac:dyDescent="0.3">
      <c r="O159" t="s">
        <v>7</v>
      </c>
      <c r="P159" t="s">
        <v>34</v>
      </c>
      <c r="Q159" t="s">
        <v>24</v>
      </c>
      <c r="R159" s="2">
        <v>8862</v>
      </c>
      <c r="S159" s="3">
        <v>189</v>
      </c>
    </row>
    <row r="160" spans="15:19" x14ac:dyDescent="0.3">
      <c r="O160" t="s">
        <v>6</v>
      </c>
      <c r="P160" t="s">
        <v>37</v>
      </c>
      <c r="Q160" t="s">
        <v>28</v>
      </c>
      <c r="R160" s="2">
        <v>3556</v>
      </c>
      <c r="S160" s="3">
        <v>459</v>
      </c>
    </row>
    <row r="161" spans="15:19" x14ac:dyDescent="0.3">
      <c r="O161" t="s">
        <v>5</v>
      </c>
      <c r="P161" t="s">
        <v>34</v>
      </c>
      <c r="Q161" t="s">
        <v>15</v>
      </c>
      <c r="R161" s="2">
        <v>7280</v>
      </c>
      <c r="S161" s="3">
        <v>201</v>
      </c>
    </row>
    <row r="162" spans="15:19" x14ac:dyDescent="0.3">
      <c r="O162" t="s">
        <v>6</v>
      </c>
      <c r="P162" t="s">
        <v>34</v>
      </c>
      <c r="Q162" t="s">
        <v>30</v>
      </c>
      <c r="R162" s="2">
        <v>3402</v>
      </c>
      <c r="S162" s="3">
        <v>366</v>
      </c>
    </row>
    <row r="163" spans="15:19" x14ac:dyDescent="0.3">
      <c r="O163" t="s">
        <v>3</v>
      </c>
      <c r="P163" t="s">
        <v>37</v>
      </c>
      <c r="Q163" t="s">
        <v>29</v>
      </c>
      <c r="R163" s="2">
        <v>4592</v>
      </c>
      <c r="S163" s="3">
        <v>324</v>
      </c>
    </row>
    <row r="164" spans="15:19" x14ac:dyDescent="0.3">
      <c r="O164" t="s">
        <v>9</v>
      </c>
      <c r="P164" t="s">
        <v>35</v>
      </c>
      <c r="Q164" t="s">
        <v>15</v>
      </c>
      <c r="R164" s="2">
        <v>7833</v>
      </c>
      <c r="S164" s="3">
        <v>243</v>
      </c>
    </row>
    <row r="165" spans="15:19" x14ac:dyDescent="0.3">
      <c r="O165" t="s">
        <v>2</v>
      </c>
      <c r="P165" t="s">
        <v>39</v>
      </c>
      <c r="Q165" t="s">
        <v>21</v>
      </c>
      <c r="R165" s="2">
        <v>7651</v>
      </c>
      <c r="S165" s="3">
        <v>213</v>
      </c>
    </row>
    <row r="166" spans="15:19" x14ac:dyDescent="0.3">
      <c r="O166" t="s">
        <v>40</v>
      </c>
      <c r="P166" t="s">
        <v>35</v>
      </c>
      <c r="Q166" t="s">
        <v>30</v>
      </c>
      <c r="R166" s="2">
        <v>2275</v>
      </c>
      <c r="S166" s="3">
        <v>447</v>
      </c>
    </row>
    <row r="167" spans="15:19" x14ac:dyDescent="0.3">
      <c r="O167" t="s">
        <v>40</v>
      </c>
      <c r="P167" t="s">
        <v>38</v>
      </c>
      <c r="Q167" t="s">
        <v>13</v>
      </c>
      <c r="R167" s="2">
        <v>5670</v>
      </c>
      <c r="S167" s="3">
        <v>297</v>
      </c>
    </row>
    <row r="168" spans="15:19" x14ac:dyDescent="0.3">
      <c r="O168" t="s">
        <v>7</v>
      </c>
      <c r="P168" t="s">
        <v>35</v>
      </c>
      <c r="Q168" t="s">
        <v>16</v>
      </c>
      <c r="R168" s="2">
        <v>2135</v>
      </c>
      <c r="S168" s="3">
        <v>27</v>
      </c>
    </row>
    <row r="169" spans="15:19" x14ac:dyDescent="0.3">
      <c r="O169" t="s">
        <v>40</v>
      </c>
      <c r="P169" t="s">
        <v>34</v>
      </c>
      <c r="Q169" t="s">
        <v>23</v>
      </c>
      <c r="R169" s="2">
        <v>2779</v>
      </c>
      <c r="S169" s="3">
        <v>75</v>
      </c>
    </row>
    <row r="170" spans="15:19" x14ac:dyDescent="0.3">
      <c r="O170" t="s">
        <v>10</v>
      </c>
      <c r="P170" t="s">
        <v>39</v>
      </c>
      <c r="Q170" t="s">
        <v>33</v>
      </c>
      <c r="R170" s="2">
        <v>12950</v>
      </c>
      <c r="S170" s="3">
        <v>30</v>
      </c>
    </row>
    <row r="171" spans="15:19" x14ac:dyDescent="0.3">
      <c r="O171" t="s">
        <v>7</v>
      </c>
      <c r="P171" t="s">
        <v>36</v>
      </c>
      <c r="Q171" t="s">
        <v>18</v>
      </c>
      <c r="R171" s="2">
        <v>2646</v>
      </c>
      <c r="S171" s="3">
        <v>177</v>
      </c>
    </row>
    <row r="172" spans="15:19" x14ac:dyDescent="0.3">
      <c r="O172" t="s">
        <v>40</v>
      </c>
      <c r="P172" t="s">
        <v>34</v>
      </c>
      <c r="Q172" t="s">
        <v>33</v>
      </c>
      <c r="R172" s="2">
        <v>3794</v>
      </c>
      <c r="S172" s="3">
        <v>159</v>
      </c>
    </row>
    <row r="173" spans="15:19" x14ac:dyDescent="0.3">
      <c r="O173" t="s">
        <v>3</v>
      </c>
      <c r="P173" t="s">
        <v>35</v>
      </c>
      <c r="Q173" t="s">
        <v>33</v>
      </c>
      <c r="R173" s="2">
        <v>819</v>
      </c>
      <c r="S173" s="3">
        <v>306</v>
      </c>
    </row>
    <row r="174" spans="15:19" x14ac:dyDescent="0.3">
      <c r="O174" t="s">
        <v>3</v>
      </c>
      <c r="P174" t="s">
        <v>34</v>
      </c>
      <c r="Q174" t="s">
        <v>20</v>
      </c>
      <c r="R174" s="2">
        <v>2583</v>
      </c>
      <c r="S174" s="3">
        <v>18</v>
      </c>
    </row>
    <row r="175" spans="15:19" x14ac:dyDescent="0.3">
      <c r="O175" t="s">
        <v>7</v>
      </c>
      <c r="P175" t="s">
        <v>35</v>
      </c>
      <c r="Q175" t="s">
        <v>19</v>
      </c>
      <c r="R175" s="2">
        <v>4585</v>
      </c>
      <c r="S175" s="3">
        <v>240</v>
      </c>
    </row>
    <row r="176" spans="15:19" x14ac:dyDescent="0.3">
      <c r="O176" t="s">
        <v>5</v>
      </c>
      <c r="P176" t="s">
        <v>34</v>
      </c>
      <c r="Q176" t="s">
        <v>33</v>
      </c>
      <c r="R176" s="2">
        <v>1652</v>
      </c>
      <c r="S176" s="3">
        <v>93</v>
      </c>
    </row>
    <row r="177" spans="15:19" x14ac:dyDescent="0.3">
      <c r="O177" t="s">
        <v>10</v>
      </c>
      <c r="P177" t="s">
        <v>34</v>
      </c>
      <c r="Q177" t="s">
        <v>26</v>
      </c>
      <c r="R177" s="2">
        <v>4991</v>
      </c>
      <c r="S177" s="3">
        <v>9</v>
      </c>
    </row>
    <row r="178" spans="15:19" x14ac:dyDescent="0.3">
      <c r="O178" t="s">
        <v>8</v>
      </c>
      <c r="P178" t="s">
        <v>34</v>
      </c>
      <c r="Q178" t="s">
        <v>16</v>
      </c>
      <c r="R178" s="2">
        <v>2009</v>
      </c>
      <c r="S178" s="3">
        <v>219</v>
      </c>
    </row>
    <row r="179" spans="15:19" x14ac:dyDescent="0.3">
      <c r="O179" t="s">
        <v>2</v>
      </c>
      <c r="P179" t="s">
        <v>39</v>
      </c>
      <c r="Q179" t="s">
        <v>22</v>
      </c>
      <c r="R179" s="2">
        <v>1568</v>
      </c>
      <c r="S179" s="3">
        <v>141</v>
      </c>
    </row>
    <row r="180" spans="15:19" x14ac:dyDescent="0.3">
      <c r="O180" t="s">
        <v>41</v>
      </c>
      <c r="P180" t="s">
        <v>37</v>
      </c>
      <c r="Q180" t="s">
        <v>20</v>
      </c>
      <c r="R180" s="2">
        <v>3388</v>
      </c>
      <c r="S180" s="3">
        <v>123</v>
      </c>
    </row>
    <row r="181" spans="15:19" x14ac:dyDescent="0.3">
      <c r="O181" t="s">
        <v>40</v>
      </c>
      <c r="P181" t="s">
        <v>38</v>
      </c>
      <c r="Q181" t="s">
        <v>24</v>
      </c>
      <c r="R181" s="2">
        <v>623</v>
      </c>
      <c r="S181" s="3">
        <v>51</v>
      </c>
    </row>
    <row r="182" spans="15:19" x14ac:dyDescent="0.3">
      <c r="O182" t="s">
        <v>6</v>
      </c>
      <c r="P182" t="s">
        <v>36</v>
      </c>
      <c r="Q182" t="s">
        <v>4</v>
      </c>
      <c r="R182" s="2">
        <v>10073</v>
      </c>
      <c r="S182" s="3">
        <v>120</v>
      </c>
    </row>
    <row r="183" spans="15:19" x14ac:dyDescent="0.3">
      <c r="O183" t="s">
        <v>8</v>
      </c>
      <c r="P183" t="s">
        <v>39</v>
      </c>
      <c r="Q183" t="s">
        <v>26</v>
      </c>
      <c r="R183" s="2">
        <v>1561</v>
      </c>
      <c r="S183" s="3">
        <v>27</v>
      </c>
    </row>
    <row r="184" spans="15:19" x14ac:dyDescent="0.3">
      <c r="O184" t="s">
        <v>9</v>
      </c>
      <c r="P184" t="s">
        <v>36</v>
      </c>
      <c r="Q184" t="s">
        <v>27</v>
      </c>
      <c r="R184" s="2">
        <v>11522</v>
      </c>
      <c r="S184" s="3">
        <v>204</v>
      </c>
    </row>
    <row r="185" spans="15:19" x14ac:dyDescent="0.3">
      <c r="O185" t="s">
        <v>6</v>
      </c>
      <c r="P185" t="s">
        <v>38</v>
      </c>
      <c r="Q185" t="s">
        <v>13</v>
      </c>
      <c r="R185" s="2">
        <v>2317</v>
      </c>
      <c r="S185" s="3">
        <v>123</v>
      </c>
    </row>
    <row r="186" spans="15:19" x14ac:dyDescent="0.3">
      <c r="O186" t="s">
        <v>10</v>
      </c>
      <c r="P186" t="s">
        <v>37</v>
      </c>
      <c r="Q186" t="s">
        <v>28</v>
      </c>
      <c r="R186" s="2">
        <v>3059</v>
      </c>
      <c r="S186" s="3">
        <v>27</v>
      </c>
    </row>
    <row r="187" spans="15:19" x14ac:dyDescent="0.3">
      <c r="O187" t="s">
        <v>41</v>
      </c>
      <c r="P187" t="s">
        <v>37</v>
      </c>
      <c r="Q187" t="s">
        <v>26</v>
      </c>
      <c r="R187" s="2">
        <v>2324</v>
      </c>
      <c r="S187" s="3">
        <v>177</v>
      </c>
    </row>
    <row r="188" spans="15:19" x14ac:dyDescent="0.3">
      <c r="O188" t="s">
        <v>3</v>
      </c>
      <c r="P188" t="s">
        <v>39</v>
      </c>
      <c r="Q188" t="s">
        <v>26</v>
      </c>
      <c r="R188" s="2">
        <v>4956</v>
      </c>
      <c r="S188" s="3">
        <v>171</v>
      </c>
    </row>
    <row r="189" spans="15:19" x14ac:dyDescent="0.3">
      <c r="O189" t="s">
        <v>10</v>
      </c>
      <c r="P189" t="s">
        <v>34</v>
      </c>
      <c r="Q189" t="s">
        <v>19</v>
      </c>
      <c r="R189" s="2">
        <v>5355</v>
      </c>
      <c r="S189" s="3">
        <v>204</v>
      </c>
    </row>
    <row r="190" spans="15:19" x14ac:dyDescent="0.3">
      <c r="O190" t="s">
        <v>3</v>
      </c>
      <c r="P190" t="s">
        <v>34</v>
      </c>
      <c r="Q190" t="s">
        <v>14</v>
      </c>
      <c r="R190" s="2">
        <v>7259</v>
      </c>
      <c r="S190" s="3">
        <v>276</v>
      </c>
    </row>
    <row r="191" spans="15:19" x14ac:dyDescent="0.3">
      <c r="O191" t="s">
        <v>8</v>
      </c>
      <c r="P191" t="s">
        <v>37</v>
      </c>
      <c r="Q191" t="s">
        <v>26</v>
      </c>
      <c r="R191" s="2">
        <v>6279</v>
      </c>
      <c r="S191" s="3">
        <v>45</v>
      </c>
    </row>
    <row r="192" spans="15:19" x14ac:dyDescent="0.3">
      <c r="O192" t="s">
        <v>40</v>
      </c>
      <c r="P192" t="s">
        <v>38</v>
      </c>
      <c r="Q192" t="s">
        <v>29</v>
      </c>
      <c r="R192" s="2">
        <v>2541</v>
      </c>
      <c r="S192" s="3">
        <v>45</v>
      </c>
    </row>
    <row r="193" spans="15:19" x14ac:dyDescent="0.3">
      <c r="O193" t="s">
        <v>6</v>
      </c>
      <c r="P193" t="s">
        <v>35</v>
      </c>
      <c r="Q193" t="s">
        <v>27</v>
      </c>
      <c r="R193" s="2">
        <v>3864</v>
      </c>
      <c r="S193" s="3">
        <v>177</v>
      </c>
    </row>
    <row r="194" spans="15:19" x14ac:dyDescent="0.3">
      <c r="O194" t="s">
        <v>5</v>
      </c>
      <c r="P194" t="s">
        <v>36</v>
      </c>
      <c r="Q194" t="s">
        <v>13</v>
      </c>
      <c r="R194" s="2">
        <v>6146</v>
      </c>
      <c r="S194" s="3">
        <v>63</v>
      </c>
    </row>
    <row r="195" spans="15:19" x14ac:dyDescent="0.3">
      <c r="O195" t="s">
        <v>9</v>
      </c>
      <c r="P195" t="s">
        <v>39</v>
      </c>
      <c r="Q195" t="s">
        <v>18</v>
      </c>
      <c r="R195" s="2">
        <v>2639</v>
      </c>
      <c r="S195" s="3">
        <v>204</v>
      </c>
    </row>
    <row r="196" spans="15:19" x14ac:dyDescent="0.3">
      <c r="O196" t="s">
        <v>8</v>
      </c>
      <c r="P196" t="s">
        <v>37</v>
      </c>
      <c r="Q196" t="s">
        <v>22</v>
      </c>
      <c r="R196" s="2">
        <v>1890</v>
      </c>
      <c r="S196" s="3">
        <v>195</v>
      </c>
    </row>
    <row r="197" spans="15:19" x14ac:dyDescent="0.3">
      <c r="O197" t="s">
        <v>7</v>
      </c>
      <c r="P197" t="s">
        <v>34</v>
      </c>
      <c r="Q197" t="s">
        <v>14</v>
      </c>
      <c r="R197" s="2">
        <v>1932</v>
      </c>
      <c r="S197" s="3">
        <v>369</v>
      </c>
    </row>
    <row r="198" spans="15:19" x14ac:dyDescent="0.3">
      <c r="O198" t="s">
        <v>3</v>
      </c>
      <c r="P198" t="s">
        <v>34</v>
      </c>
      <c r="Q198" t="s">
        <v>25</v>
      </c>
      <c r="R198" s="2">
        <v>6300</v>
      </c>
      <c r="S198" s="3">
        <v>42</v>
      </c>
    </row>
    <row r="199" spans="15:19" x14ac:dyDescent="0.3">
      <c r="O199" t="s">
        <v>6</v>
      </c>
      <c r="P199" t="s">
        <v>37</v>
      </c>
      <c r="Q199" t="s">
        <v>30</v>
      </c>
      <c r="R199" s="2">
        <v>560</v>
      </c>
      <c r="S199" s="3">
        <v>81</v>
      </c>
    </row>
    <row r="200" spans="15:19" x14ac:dyDescent="0.3">
      <c r="O200" t="s">
        <v>9</v>
      </c>
      <c r="P200" t="s">
        <v>37</v>
      </c>
      <c r="Q200" t="s">
        <v>26</v>
      </c>
      <c r="R200" s="2">
        <v>2856</v>
      </c>
      <c r="S200" s="3">
        <v>246</v>
      </c>
    </row>
    <row r="201" spans="15:19" x14ac:dyDescent="0.3">
      <c r="O201" t="s">
        <v>9</v>
      </c>
      <c r="P201" t="s">
        <v>34</v>
      </c>
      <c r="Q201" t="s">
        <v>17</v>
      </c>
      <c r="R201" s="2">
        <v>707</v>
      </c>
      <c r="S201" s="3">
        <v>174</v>
      </c>
    </row>
    <row r="202" spans="15:19" x14ac:dyDescent="0.3">
      <c r="O202" t="s">
        <v>8</v>
      </c>
      <c r="P202" t="s">
        <v>35</v>
      </c>
      <c r="Q202" t="s">
        <v>30</v>
      </c>
      <c r="R202" s="2">
        <v>3598</v>
      </c>
      <c r="S202" s="3">
        <v>81</v>
      </c>
    </row>
    <row r="203" spans="15:19" x14ac:dyDescent="0.3">
      <c r="O203" t="s">
        <v>40</v>
      </c>
      <c r="P203" t="s">
        <v>35</v>
      </c>
      <c r="Q203" t="s">
        <v>22</v>
      </c>
      <c r="R203" s="2">
        <v>6853</v>
      </c>
      <c r="S203" s="3">
        <v>372</v>
      </c>
    </row>
    <row r="204" spans="15:19" x14ac:dyDescent="0.3">
      <c r="O204" t="s">
        <v>40</v>
      </c>
      <c r="P204" t="s">
        <v>35</v>
      </c>
      <c r="Q204" t="s">
        <v>16</v>
      </c>
      <c r="R204" s="2">
        <v>4725</v>
      </c>
      <c r="S204" s="3">
        <v>174</v>
      </c>
    </row>
    <row r="205" spans="15:19" x14ac:dyDescent="0.3">
      <c r="O205" t="s">
        <v>41</v>
      </c>
      <c r="P205" t="s">
        <v>36</v>
      </c>
      <c r="Q205" t="s">
        <v>32</v>
      </c>
      <c r="R205" s="2">
        <v>10304</v>
      </c>
      <c r="S205" s="3">
        <v>84</v>
      </c>
    </row>
    <row r="206" spans="15:19" x14ac:dyDescent="0.3">
      <c r="O206" t="s">
        <v>41</v>
      </c>
      <c r="P206" t="s">
        <v>34</v>
      </c>
      <c r="Q206" t="s">
        <v>16</v>
      </c>
      <c r="R206" s="2">
        <v>1274</v>
      </c>
      <c r="S206" s="3">
        <v>225</v>
      </c>
    </row>
    <row r="207" spans="15:19" x14ac:dyDescent="0.3">
      <c r="O207" t="s">
        <v>5</v>
      </c>
      <c r="P207" t="s">
        <v>36</v>
      </c>
      <c r="Q207" t="s">
        <v>30</v>
      </c>
      <c r="R207" s="2">
        <v>1526</v>
      </c>
      <c r="S207" s="3">
        <v>105</v>
      </c>
    </row>
    <row r="208" spans="15:19" x14ac:dyDescent="0.3">
      <c r="O208" t="s">
        <v>40</v>
      </c>
      <c r="P208" t="s">
        <v>39</v>
      </c>
      <c r="Q208" t="s">
        <v>28</v>
      </c>
      <c r="R208" s="2">
        <v>3101</v>
      </c>
      <c r="S208" s="3">
        <v>225</v>
      </c>
    </row>
    <row r="209" spans="15:19" x14ac:dyDescent="0.3">
      <c r="O209" t="s">
        <v>2</v>
      </c>
      <c r="P209" t="s">
        <v>37</v>
      </c>
      <c r="Q209" t="s">
        <v>14</v>
      </c>
      <c r="R209" s="2">
        <v>1057</v>
      </c>
      <c r="S209" s="3">
        <v>54</v>
      </c>
    </row>
    <row r="210" spans="15:19" x14ac:dyDescent="0.3">
      <c r="O210" t="s">
        <v>7</v>
      </c>
      <c r="P210" t="s">
        <v>37</v>
      </c>
      <c r="Q210" t="s">
        <v>26</v>
      </c>
      <c r="R210" s="2">
        <v>5306</v>
      </c>
      <c r="S210" s="3">
        <v>0</v>
      </c>
    </row>
    <row r="211" spans="15:19" x14ac:dyDescent="0.3">
      <c r="O211" t="s">
        <v>5</v>
      </c>
      <c r="P211" t="s">
        <v>39</v>
      </c>
      <c r="Q211" t="s">
        <v>24</v>
      </c>
      <c r="R211" s="2">
        <v>4018</v>
      </c>
      <c r="S211" s="3">
        <v>171</v>
      </c>
    </row>
    <row r="212" spans="15:19" x14ac:dyDescent="0.3">
      <c r="O212" t="s">
        <v>9</v>
      </c>
      <c r="P212" t="s">
        <v>34</v>
      </c>
      <c r="Q212" t="s">
        <v>16</v>
      </c>
      <c r="R212" s="2">
        <v>938</v>
      </c>
      <c r="S212" s="3">
        <v>189</v>
      </c>
    </row>
    <row r="213" spans="15:19" x14ac:dyDescent="0.3">
      <c r="O213" t="s">
        <v>7</v>
      </c>
      <c r="P213" t="s">
        <v>38</v>
      </c>
      <c r="Q213" t="s">
        <v>18</v>
      </c>
      <c r="R213" s="2">
        <v>1778</v>
      </c>
      <c r="S213" s="3">
        <v>270</v>
      </c>
    </row>
    <row r="214" spans="15:19" x14ac:dyDescent="0.3">
      <c r="O214" t="s">
        <v>6</v>
      </c>
      <c r="P214" t="s">
        <v>39</v>
      </c>
      <c r="Q214" t="s">
        <v>30</v>
      </c>
      <c r="R214" s="2">
        <v>1638</v>
      </c>
      <c r="S214" s="3">
        <v>63</v>
      </c>
    </row>
    <row r="215" spans="15:19" x14ac:dyDescent="0.3">
      <c r="O215" t="s">
        <v>41</v>
      </c>
      <c r="P215" t="s">
        <v>38</v>
      </c>
      <c r="Q215" t="s">
        <v>25</v>
      </c>
      <c r="R215" s="2">
        <v>154</v>
      </c>
      <c r="S215" s="3">
        <v>21</v>
      </c>
    </row>
    <row r="216" spans="15:19" x14ac:dyDescent="0.3">
      <c r="O216" t="s">
        <v>7</v>
      </c>
      <c r="P216" t="s">
        <v>37</v>
      </c>
      <c r="Q216" t="s">
        <v>22</v>
      </c>
      <c r="R216" s="2">
        <v>9835</v>
      </c>
      <c r="S216" s="3">
        <v>207</v>
      </c>
    </row>
    <row r="217" spans="15:19" x14ac:dyDescent="0.3">
      <c r="O217" t="s">
        <v>9</v>
      </c>
      <c r="P217" t="s">
        <v>37</v>
      </c>
      <c r="Q217" t="s">
        <v>20</v>
      </c>
      <c r="R217" s="2">
        <v>7273</v>
      </c>
      <c r="S217" s="3">
        <v>96</v>
      </c>
    </row>
    <row r="218" spans="15:19" x14ac:dyDescent="0.3">
      <c r="O218" t="s">
        <v>5</v>
      </c>
      <c r="P218" t="s">
        <v>39</v>
      </c>
      <c r="Q218" t="s">
        <v>22</v>
      </c>
      <c r="R218" s="2">
        <v>6909</v>
      </c>
      <c r="S218" s="3">
        <v>81</v>
      </c>
    </row>
    <row r="219" spans="15:19" x14ac:dyDescent="0.3">
      <c r="O219" t="s">
        <v>9</v>
      </c>
      <c r="P219" t="s">
        <v>39</v>
      </c>
      <c r="Q219" t="s">
        <v>24</v>
      </c>
      <c r="R219" s="2">
        <v>3920</v>
      </c>
      <c r="S219" s="3">
        <v>306</v>
      </c>
    </row>
    <row r="220" spans="15:19" x14ac:dyDescent="0.3">
      <c r="O220" t="s">
        <v>10</v>
      </c>
      <c r="P220" t="s">
        <v>39</v>
      </c>
      <c r="Q220" t="s">
        <v>21</v>
      </c>
      <c r="R220" s="2">
        <v>4858</v>
      </c>
      <c r="S220" s="3">
        <v>279</v>
      </c>
    </row>
    <row r="221" spans="15:19" x14ac:dyDescent="0.3">
      <c r="O221" t="s">
        <v>2</v>
      </c>
      <c r="P221" t="s">
        <v>38</v>
      </c>
      <c r="Q221" t="s">
        <v>4</v>
      </c>
      <c r="R221" s="2">
        <v>3549</v>
      </c>
      <c r="S221" s="3">
        <v>3</v>
      </c>
    </row>
    <row r="222" spans="15:19" x14ac:dyDescent="0.3">
      <c r="O222" t="s">
        <v>7</v>
      </c>
      <c r="P222" t="s">
        <v>39</v>
      </c>
      <c r="Q222" t="s">
        <v>27</v>
      </c>
      <c r="R222" s="2">
        <v>966</v>
      </c>
      <c r="S222" s="3">
        <v>198</v>
      </c>
    </row>
    <row r="223" spans="15:19" x14ac:dyDescent="0.3">
      <c r="O223" t="s">
        <v>5</v>
      </c>
      <c r="P223" t="s">
        <v>39</v>
      </c>
      <c r="Q223" t="s">
        <v>18</v>
      </c>
      <c r="R223" s="2">
        <v>385</v>
      </c>
      <c r="S223" s="3">
        <v>249</v>
      </c>
    </row>
    <row r="224" spans="15:19" x14ac:dyDescent="0.3">
      <c r="O224" t="s">
        <v>6</v>
      </c>
      <c r="P224" t="s">
        <v>34</v>
      </c>
      <c r="Q224" t="s">
        <v>16</v>
      </c>
      <c r="R224" s="2">
        <v>2219</v>
      </c>
      <c r="S224" s="3">
        <v>75</v>
      </c>
    </row>
    <row r="225" spans="15:19" x14ac:dyDescent="0.3">
      <c r="O225" t="s">
        <v>9</v>
      </c>
      <c r="P225" t="s">
        <v>36</v>
      </c>
      <c r="Q225" t="s">
        <v>32</v>
      </c>
      <c r="R225" s="2">
        <v>2954</v>
      </c>
      <c r="S225" s="3">
        <v>189</v>
      </c>
    </row>
    <row r="226" spans="15:19" x14ac:dyDescent="0.3">
      <c r="O226" t="s">
        <v>7</v>
      </c>
      <c r="P226" t="s">
        <v>36</v>
      </c>
      <c r="Q226" t="s">
        <v>32</v>
      </c>
      <c r="R226" s="2">
        <v>280</v>
      </c>
      <c r="S226" s="3">
        <v>87</v>
      </c>
    </row>
    <row r="227" spans="15:19" x14ac:dyDescent="0.3">
      <c r="O227" t="s">
        <v>41</v>
      </c>
      <c r="P227" t="s">
        <v>36</v>
      </c>
      <c r="Q227" t="s">
        <v>30</v>
      </c>
      <c r="R227" s="2">
        <v>6118</v>
      </c>
      <c r="S227" s="3">
        <v>174</v>
      </c>
    </row>
    <row r="228" spans="15:19" x14ac:dyDescent="0.3">
      <c r="O228" t="s">
        <v>2</v>
      </c>
      <c r="P228" t="s">
        <v>39</v>
      </c>
      <c r="Q228" t="s">
        <v>15</v>
      </c>
      <c r="R228" s="2">
        <v>4802</v>
      </c>
      <c r="S228" s="3">
        <v>36</v>
      </c>
    </row>
    <row r="229" spans="15:19" x14ac:dyDescent="0.3">
      <c r="O229" t="s">
        <v>9</v>
      </c>
      <c r="P229" t="s">
        <v>38</v>
      </c>
      <c r="Q229" t="s">
        <v>24</v>
      </c>
      <c r="R229" s="2">
        <v>4137</v>
      </c>
      <c r="S229" s="3">
        <v>60</v>
      </c>
    </row>
    <row r="230" spans="15:19" x14ac:dyDescent="0.3">
      <c r="O230" t="s">
        <v>3</v>
      </c>
      <c r="P230" t="s">
        <v>35</v>
      </c>
      <c r="Q230" t="s">
        <v>23</v>
      </c>
      <c r="R230" s="2">
        <v>2023</v>
      </c>
      <c r="S230" s="3">
        <v>78</v>
      </c>
    </row>
    <row r="231" spans="15:19" x14ac:dyDescent="0.3">
      <c r="O231" t="s">
        <v>9</v>
      </c>
      <c r="P231" t="s">
        <v>36</v>
      </c>
      <c r="Q231" t="s">
        <v>30</v>
      </c>
      <c r="R231" s="2">
        <v>9051</v>
      </c>
      <c r="S231" s="3">
        <v>57</v>
      </c>
    </row>
    <row r="232" spans="15:19" x14ac:dyDescent="0.3">
      <c r="O232" t="s">
        <v>9</v>
      </c>
      <c r="P232" t="s">
        <v>37</v>
      </c>
      <c r="Q232" t="s">
        <v>28</v>
      </c>
      <c r="R232" s="2">
        <v>2919</v>
      </c>
      <c r="S232" s="3">
        <v>45</v>
      </c>
    </row>
    <row r="233" spans="15:19" x14ac:dyDescent="0.3">
      <c r="O233" t="s">
        <v>41</v>
      </c>
      <c r="P233" t="s">
        <v>38</v>
      </c>
      <c r="Q233" t="s">
        <v>22</v>
      </c>
      <c r="R233" s="2">
        <v>5915</v>
      </c>
      <c r="S233" s="3">
        <v>3</v>
      </c>
    </row>
    <row r="234" spans="15:19" x14ac:dyDescent="0.3">
      <c r="O234" t="s">
        <v>10</v>
      </c>
      <c r="P234" t="s">
        <v>35</v>
      </c>
      <c r="Q234" t="s">
        <v>15</v>
      </c>
      <c r="R234" s="2">
        <v>2562</v>
      </c>
      <c r="S234" s="3">
        <v>6</v>
      </c>
    </row>
    <row r="235" spans="15:19" x14ac:dyDescent="0.3">
      <c r="O235" t="s">
        <v>5</v>
      </c>
      <c r="P235" t="s">
        <v>37</v>
      </c>
      <c r="Q235" t="s">
        <v>25</v>
      </c>
      <c r="R235" s="2">
        <v>8813</v>
      </c>
      <c r="S235" s="3">
        <v>21</v>
      </c>
    </row>
    <row r="236" spans="15:19" x14ac:dyDescent="0.3">
      <c r="O236" t="s">
        <v>5</v>
      </c>
      <c r="P236" t="s">
        <v>36</v>
      </c>
      <c r="Q236" t="s">
        <v>18</v>
      </c>
      <c r="R236" s="2">
        <v>6111</v>
      </c>
      <c r="S236" s="3">
        <v>3</v>
      </c>
    </row>
    <row r="237" spans="15:19" x14ac:dyDescent="0.3">
      <c r="O237" t="s">
        <v>8</v>
      </c>
      <c r="P237" t="s">
        <v>34</v>
      </c>
      <c r="Q237" t="s">
        <v>31</v>
      </c>
      <c r="R237" s="2">
        <v>3507</v>
      </c>
      <c r="S237" s="3">
        <v>288</v>
      </c>
    </row>
    <row r="238" spans="15:19" x14ac:dyDescent="0.3">
      <c r="O238" t="s">
        <v>6</v>
      </c>
      <c r="P238" t="s">
        <v>36</v>
      </c>
      <c r="Q238" t="s">
        <v>13</v>
      </c>
      <c r="R238" s="2">
        <v>4319</v>
      </c>
      <c r="S238" s="3">
        <v>30</v>
      </c>
    </row>
    <row r="239" spans="15:19" x14ac:dyDescent="0.3">
      <c r="O239" t="s">
        <v>40</v>
      </c>
      <c r="P239" t="s">
        <v>38</v>
      </c>
      <c r="Q239" t="s">
        <v>26</v>
      </c>
      <c r="R239" s="2">
        <v>609</v>
      </c>
      <c r="S239" s="3">
        <v>87</v>
      </c>
    </row>
    <row r="240" spans="15:19" x14ac:dyDescent="0.3">
      <c r="O240" t="s">
        <v>40</v>
      </c>
      <c r="P240" t="s">
        <v>39</v>
      </c>
      <c r="Q240" t="s">
        <v>27</v>
      </c>
      <c r="R240" s="2">
        <v>6370</v>
      </c>
      <c r="S240" s="3">
        <v>30</v>
      </c>
    </row>
    <row r="241" spans="15:19" x14ac:dyDescent="0.3">
      <c r="O241" t="s">
        <v>5</v>
      </c>
      <c r="P241" t="s">
        <v>38</v>
      </c>
      <c r="Q241" t="s">
        <v>19</v>
      </c>
      <c r="R241" s="2">
        <v>5474</v>
      </c>
      <c r="S241" s="3">
        <v>168</v>
      </c>
    </row>
    <row r="242" spans="15:19" x14ac:dyDescent="0.3">
      <c r="O242" t="s">
        <v>40</v>
      </c>
      <c r="P242" t="s">
        <v>36</v>
      </c>
      <c r="Q242" t="s">
        <v>27</v>
      </c>
      <c r="R242" s="2">
        <v>3164</v>
      </c>
      <c r="S242" s="3">
        <v>306</v>
      </c>
    </row>
    <row r="243" spans="15:19" x14ac:dyDescent="0.3">
      <c r="O243" t="s">
        <v>6</v>
      </c>
      <c r="P243" t="s">
        <v>35</v>
      </c>
      <c r="Q243" t="s">
        <v>4</v>
      </c>
      <c r="R243" s="2">
        <v>1302</v>
      </c>
      <c r="S243" s="3">
        <v>402</v>
      </c>
    </row>
    <row r="244" spans="15:19" x14ac:dyDescent="0.3">
      <c r="O244" t="s">
        <v>3</v>
      </c>
      <c r="P244" t="s">
        <v>37</v>
      </c>
      <c r="Q244" t="s">
        <v>28</v>
      </c>
      <c r="R244" s="2">
        <v>7308</v>
      </c>
      <c r="S244" s="3">
        <v>327</v>
      </c>
    </row>
    <row r="245" spans="15:19" x14ac:dyDescent="0.3">
      <c r="O245" t="s">
        <v>40</v>
      </c>
      <c r="P245" t="s">
        <v>37</v>
      </c>
      <c r="Q245" t="s">
        <v>27</v>
      </c>
      <c r="R245" s="2">
        <v>6132</v>
      </c>
      <c r="S245" s="3">
        <v>93</v>
      </c>
    </row>
    <row r="246" spans="15:19" x14ac:dyDescent="0.3">
      <c r="O246" t="s">
        <v>10</v>
      </c>
      <c r="P246" t="s">
        <v>35</v>
      </c>
      <c r="Q246" t="s">
        <v>14</v>
      </c>
      <c r="R246" s="2">
        <v>3472</v>
      </c>
      <c r="S246" s="3">
        <v>96</v>
      </c>
    </row>
    <row r="247" spans="15:19" x14ac:dyDescent="0.3">
      <c r="O247" t="s">
        <v>8</v>
      </c>
      <c r="P247" t="s">
        <v>39</v>
      </c>
      <c r="Q247" t="s">
        <v>18</v>
      </c>
      <c r="R247" s="2">
        <v>9660</v>
      </c>
      <c r="S247" s="3">
        <v>27</v>
      </c>
    </row>
    <row r="248" spans="15:19" x14ac:dyDescent="0.3">
      <c r="O248" t="s">
        <v>9</v>
      </c>
      <c r="P248" t="s">
        <v>38</v>
      </c>
      <c r="Q248" t="s">
        <v>26</v>
      </c>
      <c r="R248" s="2">
        <v>2436</v>
      </c>
      <c r="S248" s="3">
        <v>99</v>
      </c>
    </row>
    <row r="249" spans="15:19" x14ac:dyDescent="0.3">
      <c r="O249" t="s">
        <v>9</v>
      </c>
      <c r="P249" t="s">
        <v>38</v>
      </c>
      <c r="Q249" t="s">
        <v>33</v>
      </c>
      <c r="R249" s="2">
        <v>9506</v>
      </c>
      <c r="S249" s="3">
        <v>87</v>
      </c>
    </row>
    <row r="250" spans="15:19" x14ac:dyDescent="0.3">
      <c r="O250" t="s">
        <v>10</v>
      </c>
      <c r="P250" t="s">
        <v>37</v>
      </c>
      <c r="Q250" t="s">
        <v>21</v>
      </c>
      <c r="R250" s="2">
        <v>245</v>
      </c>
      <c r="S250" s="3">
        <v>288</v>
      </c>
    </row>
    <row r="251" spans="15:19" x14ac:dyDescent="0.3">
      <c r="O251" t="s">
        <v>8</v>
      </c>
      <c r="P251" t="s">
        <v>35</v>
      </c>
      <c r="Q251" t="s">
        <v>20</v>
      </c>
      <c r="R251" s="2">
        <v>2702</v>
      </c>
      <c r="S251" s="3">
        <v>363</v>
      </c>
    </row>
    <row r="252" spans="15:19" x14ac:dyDescent="0.3">
      <c r="O252" t="s">
        <v>10</v>
      </c>
      <c r="P252" t="s">
        <v>34</v>
      </c>
      <c r="Q252" t="s">
        <v>17</v>
      </c>
      <c r="R252" s="2">
        <v>700</v>
      </c>
      <c r="S252" s="3">
        <v>87</v>
      </c>
    </row>
    <row r="253" spans="15:19" x14ac:dyDescent="0.3">
      <c r="O253" t="s">
        <v>6</v>
      </c>
      <c r="P253" t="s">
        <v>34</v>
      </c>
      <c r="Q253" t="s">
        <v>17</v>
      </c>
      <c r="R253" s="2">
        <v>3759</v>
      </c>
      <c r="S253" s="3">
        <v>150</v>
      </c>
    </row>
    <row r="254" spans="15:19" x14ac:dyDescent="0.3">
      <c r="O254" t="s">
        <v>2</v>
      </c>
      <c r="P254" t="s">
        <v>35</v>
      </c>
      <c r="Q254" t="s">
        <v>17</v>
      </c>
      <c r="R254" s="2">
        <v>1589</v>
      </c>
      <c r="S254" s="3">
        <v>303</v>
      </c>
    </row>
    <row r="255" spans="15:19" x14ac:dyDescent="0.3">
      <c r="O255" t="s">
        <v>7</v>
      </c>
      <c r="P255" t="s">
        <v>35</v>
      </c>
      <c r="Q255" t="s">
        <v>28</v>
      </c>
      <c r="R255" s="2">
        <v>5194</v>
      </c>
      <c r="S255" s="3">
        <v>288</v>
      </c>
    </row>
    <row r="256" spans="15:19" x14ac:dyDescent="0.3">
      <c r="O256" t="s">
        <v>10</v>
      </c>
      <c r="P256" t="s">
        <v>36</v>
      </c>
      <c r="Q256" t="s">
        <v>13</v>
      </c>
      <c r="R256" s="2">
        <v>945</v>
      </c>
      <c r="S256" s="3">
        <v>75</v>
      </c>
    </row>
    <row r="257" spans="15:19" x14ac:dyDescent="0.3">
      <c r="O257" t="s">
        <v>40</v>
      </c>
      <c r="P257" t="s">
        <v>38</v>
      </c>
      <c r="Q257" t="s">
        <v>31</v>
      </c>
      <c r="R257" s="2">
        <v>1988</v>
      </c>
      <c r="S257" s="3">
        <v>39</v>
      </c>
    </row>
    <row r="258" spans="15:19" x14ac:dyDescent="0.3">
      <c r="O258" t="s">
        <v>6</v>
      </c>
      <c r="P258" t="s">
        <v>34</v>
      </c>
      <c r="Q258" t="s">
        <v>32</v>
      </c>
      <c r="R258" s="2">
        <v>6734</v>
      </c>
      <c r="S258" s="3">
        <v>123</v>
      </c>
    </row>
    <row r="259" spans="15:19" x14ac:dyDescent="0.3">
      <c r="O259" t="s">
        <v>40</v>
      </c>
      <c r="P259" t="s">
        <v>36</v>
      </c>
      <c r="Q259" t="s">
        <v>4</v>
      </c>
      <c r="R259" s="2">
        <v>217</v>
      </c>
      <c r="S259" s="3">
        <v>36</v>
      </c>
    </row>
    <row r="260" spans="15:19" x14ac:dyDescent="0.3">
      <c r="O260" t="s">
        <v>5</v>
      </c>
      <c r="P260" t="s">
        <v>34</v>
      </c>
      <c r="Q260" t="s">
        <v>22</v>
      </c>
      <c r="R260" s="2">
        <v>6279</v>
      </c>
      <c r="S260" s="3">
        <v>237</v>
      </c>
    </row>
    <row r="261" spans="15:19" x14ac:dyDescent="0.3">
      <c r="O261" t="s">
        <v>40</v>
      </c>
      <c r="P261" t="s">
        <v>36</v>
      </c>
      <c r="Q261" t="s">
        <v>13</v>
      </c>
      <c r="R261" s="2">
        <v>4424</v>
      </c>
      <c r="S261" s="3">
        <v>201</v>
      </c>
    </row>
    <row r="262" spans="15:19" x14ac:dyDescent="0.3">
      <c r="O262" t="s">
        <v>2</v>
      </c>
      <c r="P262" t="s">
        <v>36</v>
      </c>
      <c r="Q262" t="s">
        <v>17</v>
      </c>
      <c r="R262" s="2">
        <v>189</v>
      </c>
      <c r="S262" s="3">
        <v>48</v>
      </c>
    </row>
    <row r="263" spans="15:19" x14ac:dyDescent="0.3">
      <c r="O263" t="s">
        <v>5</v>
      </c>
      <c r="P263" t="s">
        <v>35</v>
      </c>
      <c r="Q263" t="s">
        <v>22</v>
      </c>
      <c r="R263" s="2">
        <v>490</v>
      </c>
      <c r="S263" s="3">
        <v>84</v>
      </c>
    </row>
    <row r="264" spans="15:19" x14ac:dyDescent="0.3">
      <c r="O264" t="s">
        <v>8</v>
      </c>
      <c r="P264" t="s">
        <v>37</v>
      </c>
      <c r="Q264" t="s">
        <v>21</v>
      </c>
      <c r="R264" s="2">
        <v>434</v>
      </c>
      <c r="S264" s="3">
        <v>87</v>
      </c>
    </row>
    <row r="265" spans="15:19" x14ac:dyDescent="0.3">
      <c r="O265" t="s">
        <v>7</v>
      </c>
      <c r="P265" t="s">
        <v>38</v>
      </c>
      <c r="Q265" t="s">
        <v>30</v>
      </c>
      <c r="R265" s="2">
        <v>10129</v>
      </c>
      <c r="S265" s="3">
        <v>312</v>
      </c>
    </row>
    <row r="266" spans="15:19" x14ac:dyDescent="0.3">
      <c r="O266" t="s">
        <v>3</v>
      </c>
      <c r="P266" t="s">
        <v>39</v>
      </c>
      <c r="Q266" t="s">
        <v>28</v>
      </c>
      <c r="R266" s="2">
        <v>1652</v>
      </c>
      <c r="S266" s="3">
        <v>102</v>
      </c>
    </row>
    <row r="267" spans="15:19" x14ac:dyDescent="0.3">
      <c r="O267" t="s">
        <v>8</v>
      </c>
      <c r="P267" t="s">
        <v>38</v>
      </c>
      <c r="Q267" t="s">
        <v>21</v>
      </c>
      <c r="R267" s="2">
        <v>6433</v>
      </c>
      <c r="S267" s="3">
        <v>78</v>
      </c>
    </row>
    <row r="268" spans="15:19" x14ac:dyDescent="0.3">
      <c r="O268" t="s">
        <v>3</v>
      </c>
      <c r="P268" t="s">
        <v>34</v>
      </c>
      <c r="Q268" t="s">
        <v>23</v>
      </c>
      <c r="R268" s="2">
        <v>2212</v>
      </c>
      <c r="S268" s="3">
        <v>117</v>
      </c>
    </row>
    <row r="269" spans="15:19" x14ac:dyDescent="0.3">
      <c r="O269" t="s">
        <v>41</v>
      </c>
      <c r="P269" t="s">
        <v>35</v>
      </c>
      <c r="Q269" t="s">
        <v>19</v>
      </c>
      <c r="R269" s="2">
        <v>609</v>
      </c>
      <c r="S269" s="3">
        <v>99</v>
      </c>
    </row>
    <row r="270" spans="15:19" x14ac:dyDescent="0.3">
      <c r="O270" t="s">
        <v>40</v>
      </c>
      <c r="P270" t="s">
        <v>35</v>
      </c>
      <c r="Q270" t="s">
        <v>24</v>
      </c>
      <c r="R270" s="2">
        <v>1638</v>
      </c>
      <c r="S270" s="3">
        <v>48</v>
      </c>
    </row>
    <row r="271" spans="15:19" x14ac:dyDescent="0.3">
      <c r="O271" t="s">
        <v>7</v>
      </c>
      <c r="P271" t="s">
        <v>34</v>
      </c>
      <c r="Q271" t="s">
        <v>15</v>
      </c>
      <c r="R271" s="2">
        <v>3829</v>
      </c>
      <c r="S271" s="3">
        <v>24</v>
      </c>
    </row>
    <row r="272" spans="15:19" x14ac:dyDescent="0.3">
      <c r="O272" t="s">
        <v>40</v>
      </c>
      <c r="P272" t="s">
        <v>39</v>
      </c>
      <c r="Q272" t="s">
        <v>15</v>
      </c>
      <c r="R272" s="2">
        <v>5775</v>
      </c>
      <c r="S272" s="3">
        <v>42</v>
      </c>
    </row>
    <row r="273" spans="15:19" x14ac:dyDescent="0.3">
      <c r="O273" t="s">
        <v>6</v>
      </c>
      <c r="P273" t="s">
        <v>35</v>
      </c>
      <c r="Q273" t="s">
        <v>20</v>
      </c>
      <c r="R273" s="2">
        <v>1071</v>
      </c>
      <c r="S273" s="3">
        <v>270</v>
      </c>
    </row>
    <row r="274" spans="15:19" x14ac:dyDescent="0.3">
      <c r="O274" t="s">
        <v>8</v>
      </c>
      <c r="P274" t="s">
        <v>36</v>
      </c>
      <c r="Q274" t="s">
        <v>23</v>
      </c>
      <c r="R274" s="2">
        <v>5019</v>
      </c>
      <c r="S274" s="3">
        <v>150</v>
      </c>
    </row>
    <row r="275" spans="15:19" x14ac:dyDescent="0.3">
      <c r="O275" t="s">
        <v>2</v>
      </c>
      <c r="P275" t="s">
        <v>37</v>
      </c>
      <c r="Q275" t="s">
        <v>15</v>
      </c>
      <c r="R275" s="2">
        <v>2863</v>
      </c>
      <c r="S275" s="3">
        <v>42</v>
      </c>
    </row>
    <row r="276" spans="15:19" x14ac:dyDescent="0.3">
      <c r="O276" t="s">
        <v>40</v>
      </c>
      <c r="P276" t="s">
        <v>35</v>
      </c>
      <c r="Q276" t="s">
        <v>29</v>
      </c>
      <c r="R276" s="2">
        <v>1617</v>
      </c>
      <c r="S276" s="3">
        <v>126</v>
      </c>
    </row>
    <row r="277" spans="15:19" x14ac:dyDescent="0.3">
      <c r="O277" t="s">
        <v>6</v>
      </c>
      <c r="P277" t="s">
        <v>37</v>
      </c>
      <c r="Q277" t="s">
        <v>26</v>
      </c>
      <c r="R277" s="2">
        <v>6818</v>
      </c>
      <c r="S277" s="3">
        <v>6</v>
      </c>
    </row>
    <row r="278" spans="15:19" x14ac:dyDescent="0.3">
      <c r="O278" t="s">
        <v>3</v>
      </c>
      <c r="P278" t="s">
        <v>35</v>
      </c>
      <c r="Q278" t="s">
        <v>15</v>
      </c>
      <c r="R278" s="2">
        <v>6657</v>
      </c>
      <c r="S278" s="3">
        <v>276</v>
      </c>
    </row>
    <row r="279" spans="15:19" x14ac:dyDescent="0.3">
      <c r="O279" t="s">
        <v>3</v>
      </c>
      <c r="P279" t="s">
        <v>34</v>
      </c>
      <c r="Q279" t="s">
        <v>17</v>
      </c>
      <c r="R279" s="2">
        <v>2919</v>
      </c>
      <c r="S279" s="3">
        <v>93</v>
      </c>
    </row>
    <row r="280" spans="15:19" x14ac:dyDescent="0.3">
      <c r="O280" t="s">
        <v>2</v>
      </c>
      <c r="P280" t="s">
        <v>36</v>
      </c>
      <c r="Q280" t="s">
        <v>31</v>
      </c>
      <c r="R280" s="2">
        <v>3094</v>
      </c>
      <c r="S280" s="3">
        <v>246</v>
      </c>
    </row>
    <row r="281" spans="15:19" x14ac:dyDescent="0.3">
      <c r="O281" t="s">
        <v>6</v>
      </c>
      <c r="P281" t="s">
        <v>39</v>
      </c>
      <c r="Q281" t="s">
        <v>24</v>
      </c>
      <c r="R281" s="2">
        <v>2989</v>
      </c>
      <c r="S281" s="3">
        <v>3</v>
      </c>
    </row>
    <row r="282" spans="15:19" x14ac:dyDescent="0.3">
      <c r="O282" t="s">
        <v>8</v>
      </c>
      <c r="P282" t="s">
        <v>38</v>
      </c>
      <c r="Q282" t="s">
        <v>27</v>
      </c>
      <c r="R282" s="2">
        <v>2268</v>
      </c>
      <c r="S282" s="3">
        <v>63</v>
      </c>
    </row>
    <row r="283" spans="15:19" x14ac:dyDescent="0.3">
      <c r="O283" t="s">
        <v>5</v>
      </c>
      <c r="P283" t="s">
        <v>35</v>
      </c>
      <c r="Q283" t="s">
        <v>31</v>
      </c>
      <c r="R283" s="2">
        <v>4753</v>
      </c>
      <c r="S283" s="3">
        <v>246</v>
      </c>
    </row>
    <row r="284" spans="15:19" x14ac:dyDescent="0.3">
      <c r="O284" t="s">
        <v>2</v>
      </c>
      <c r="P284" t="s">
        <v>34</v>
      </c>
      <c r="Q284" t="s">
        <v>19</v>
      </c>
      <c r="R284" s="2">
        <v>7511</v>
      </c>
      <c r="S284" s="3">
        <v>120</v>
      </c>
    </row>
    <row r="285" spans="15:19" x14ac:dyDescent="0.3">
      <c r="O285" t="s">
        <v>2</v>
      </c>
      <c r="P285" t="s">
        <v>38</v>
      </c>
      <c r="Q285" t="s">
        <v>31</v>
      </c>
      <c r="R285" s="2">
        <v>4326</v>
      </c>
      <c r="S285" s="3">
        <v>348</v>
      </c>
    </row>
    <row r="286" spans="15:19" x14ac:dyDescent="0.3">
      <c r="O286" t="s">
        <v>41</v>
      </c>
      <c r="P286" t="s">
        <v>34</v>
      </c>
      <c r="Q286" t="s">
        <v>23</v>
      </c>
      <c r="R286" s="2">
        <v>4935</v>
      </c>
      <c r="S286" s="3">
        <v>126</v>
      </c>
    </row>
    <row r="287" spans="15:19" x14ac:dyDescent="0.3">
      <c r="O287" t="s">
        <v>6</v>
      </c>
      <c r="P287" t="s">
        <v>35</v>
      </c>
      <c r="Q287" t="s">
        <v>30</v>
      </c>
      <c r="R287" s="2">
        <v>4781</v>
      </c>
      <c r="S287" s="3">
        <v>123</v>
      </c>
    </row>
    <row r="288" spans="15:19" x14ac:dyDescent="0.3">
      <c r="O288" t="s">
        <v>5</v>
      </c>
      <c r="P288" t="s">
        <v>38</v>
      </c>
      <c r="Q288" t="s">
        <v>25</v>
      </c>
      <c r="R288" s="2">
        <v>7483</v>
      </c>
      <c r="S288" s="3">
        <v>45</v>
      </c>
    </row>
    <row r="289" spans="15:19" x14ac:dyDescent="0.3">
      <c r="O289" t="s">
        <v>10</v>
      </c>
      <c r="P289" t="s">
        <v>38</v>
      </c>
      <c r="Q289" t="s">
        <v>4</v>
      </c>
      <c r="R289" s="2">
        <v>6860</v>
      </c>
      <c r="S289" s="3">
        <v>126</v>
      </c>
    </row>
    <row r="290" spans="15:19" x14ac:dyDescent="0.3">
      <c r="O290" t="s">
        <v>40</v>
      </c>
      <c r="P290" t="s">
        <v>37</v>
      </c>
      <c r="Q290" t="s">
        <v>29</v>
      </c>
      <c r="R290" s="2">
        <v>9002</v>
      </c>
      <c r="S290" s="3">
        <v>72</v>
      </c>
    </row>
    <row r="291" spans="15:19" x14ac:dyDescent="0.3">
      <c r="O291" t="s">
        <v>6</v>
      </c>
      <c r="P291" t="s">
        <v>36</v>
      </c>
      <c r="Q291" t="s">
        <v>29</v>
      </c>
      <c r="R291" s="2">
        <v>1400</v>
      </c>
      <c r="S291" s="3">
        <v>135</v>
      </c>
    </row>
    <row r="292" spans="15:19" x14ac:dyDescent="0.3">
      <c r="O292" t="s">
        <v>10</v>
      </c>
      <c r="P292" t="s">
        <v>34</v>
      </c>
      <c r="Q292" t="s">
        <v>22</v>
      </c>
      <c r="R292" s="2">
        <v>4053</v>
      </c>
      <c r="S292" s="3">
        <v>24</v>
      </c>
    </row>
    <row r="293" spans="15:19" x14ac:dyDescent="0.3">
      <c r="O293" t="s">
        <v>7</v>
      </c>
      <c r="P293" t="s">
        <v>36</v>
      </c>
      <c r="Q293" t="s">
        <v>31</v>
      </c>
      <c r="R293" s="2">
        <v>2149</v>
      </c>
      <c r="S293" s="3">
        <v>117</v>
      </c>
    </row>
    <row r="294" spans="15:19" x14ac:dyDescent="0.3">
      <c r="O294" t="s">
        <v>3</v>
      </c>
      <c r="P294" t="s">
        <v>39</v>
      </c>
      <c r="Q294" t="s">
        <v>29</v>
      </c>
      <c r="R294" s="2">
        <v>3640</v>
      </c>
      <c r="S294" s="3">
        <v>51</v>
      </c>
    </row>
    <row r="295" spans="15:19" x14ac:dyDescent="0.3">
      <c r="O295" t="s">
        <v>2</v>
      </c>
      <c r="P295" t="s">
        <v>39</v>
      </c>
      <c r="Q295" t="s">
        <v>23</v>
      </c>
      <c r="R295" s="2">
        <v>630</v>
      </c>
      <c r="S295" s="3">
        <v>36</v>
      </c>
    </row>
    <row r="296" spans="15:19" x14ac:dyDescent="0.3">
      <c r="O296" t="s">
        <v>9</v>
      </c>
      <c r="P296" t="s">
        <v>35</v>
      </c>
      <c r="Q296" t="s">
        <v>27</v>
      </c>
      <c r="R296" s="2">
        <v>2429</v>
      </c>
      <c r="S296" s="3">
        <v>144</v>
      </c>
    </row>
    <row r="297" spans="15:19" x14ac:dyDescent="0.3">
      <c r="O297" t="s">
        <v>9</v>
      </c>
      <c r="P297" t="s">
        <v>36</v>
      </c>
      <c r="Q297" t="s">
        <v>25</v>
      </c>
      <c r="R297" s="2">
        <v>2142</v>
      </c>
      <c r="S297" s="3">
        <v>114</v>
      </c>
    </row>
    <row r="298" spans="15:19" x14ac:dyDescent="0.3">
      <c r="O298" t="s">
        <v>7</v>
      </c>
      <c r="P298" t="s">
        <v>37</v>
      </c>
      <c r="Q298" t="s">
        <v>30</v>
      </c>
      <c r="R298" s="2">
        <v>6454</v>
      </c>
      <c r="S298" s="3">
        <v>54</v>
      </c>
    </row>
    <row r="299" spans="15:19" x14ac:dyDescent="0.3">
      <c r="O299" t="s">
        <v>7</v>
      </c>
      <c r="P299" t="s">
        <v>37</v>
      </c>
      <c r="Q299" t="s">
        <v>16</v>
      </c>
      <c r="R299" s="2">
        <v>4487</v>
      </c>
      <c r="S299" s="3">
        <v>333</v>
      </c>
    </row>
    <row r="300" spans="15:19" x14ac:dyDescent="0.3">
      <c r="O300" t="s">
        <v>3</v>
      </c>
      <c r="P300" t="s">
        <v>37</v>
      </c>
      <c r="Q300" t="s">
        <v>4</v>
      </c>
      <c r="R300" s="2">
        <v>938</v>
      </c>
      <c r="S300" s="3">
        <v>366</v>
      </c>
    </row>
    <row r="301" spans="15:19" x14ac:dyDescent="0.3">
      <c r="O301" t="s">
        <v>3</v>
      </c>
      <c r="P301" t="s">
        <v>38</v>
      </c>
      <c r="Q301" t="s">
        <v>26</v>
      </c>
      <c r="R301" s="2">
        <v>8841</v>
      </c>
      <c r="S301" s="3">
        <v>303</v>
      </c>
    </row>
    <row r="302" spans="15:19" x14ac:dyDescent="0.3">
      <c r="O302" t="s">
        <v>2</v>
      </c>
      <c r="P302" t="s">
        <v>39</v>
      </c>
      <c r="Q302" t="s">
        <v>33</v>
      </c>
      <c r="R302" s="2">
        <v>4018</v>
      </c>
      <c r="S302" s="3">
        <v>126</v>
      </c>
    </row>
    <row r="303" spans="15:19" x14ac:dyDescent="0.3">
      <c r="O303" t="s">
        <v>41</v>
      </c>
      <c r="P303" t="s">
        <v>37</v>
      </c>
      <c r="Q303" t="s">
        <v>15</v>
      </c>
      <c r="R303" s="2">
        <v>714</v>
      </c>
      <c r="S303" s="3">
        <v>231</v>
      </c>
    </row>
    <row r="304" spans="15:19" x14ac:dyDescent="0.3">
      <c r="O304" t="s">
        <v>9</v>
      </c>
      <c r="P304" t="s">
        <v>38</v>
      </c>
      <c r="Q304" t="s">
        <v>25</v>
      </c>
      <c r="R304" s="2">
        <v>3850</v>
      </c>
      <c r="S304" s="3">
        <v>102</v>
      </c>
    </row>
  </sheetData>
  <pageMargins left="0.7" right="0.7" top="0.75" bottom="0.75" header="0.3" footer="0.3"/>
  <pageSetup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90D2E-F706-449C-9B38-1631DCFE8E25}">
  <dimension ref="B2:H23"/>
  <sheetViews>
    <sheetView showGridLines="0" workbookViewId="0">
      <selection activeCell="H23" sqref="H23"/>
    </sheetView>
  </sheetViews>
  <sheetFormatPr defaultRowHeight="14.4" x14ac:dyDescent="0.3"/>
  <cols>
    <col min="1" max="1" width="9.88671875" customWidth="1"/>
    <col min="2" max="2" width="10.109375" customWidth="1"/>
    <col min="3" max="3" width="15.5546875" bestFit="1" customWidth="1"/>
    <col min="4" max="4" width="14.44140625" bestFit="1" customWidth="1"/>
    <col min="5" max="5" width="8.88671875" customWidth="1"/>
    <col min="6" max="6" width="22.21875" customWidth="1"/>
    <col min="7" max="7" width="15.5546875" bestFit="1" customWidth="1"/>
    <col min="8" max="9" width="14.44140625" bestFit="1" customWidth="1"/>
    <col min="10" max="10" width="11.5546875" bestFit="1" customWidth="1"/>
    <col min="11" max="11" width="9.77734375" bestFit="1" customWidth="1"/>
    <col min="12" max="12" width="15.5546875" bestFit="1" customWidth="1"/>
    <col min="13" max="13" width="13.6640625" bestFit="1" customWidth="1"/>
  </cols>
  <sheetData>
    <row r="2" spans="2:8" s="33" customFormat="1" ht="56.4" x14ac:dyDescent="1.05">
      <c r="B2" s="44" t="s">
        <v>96</v>
      </c>
    </row>
    <row r="8" spans="2:8" ht="23.4" x14ac:dyDescent="0.45">
      <c r="C8" s="42" t="s">
        <v>94</v>
      </c>
      <c r="G8" s="43" t="s">
        <v>95</v>
      </c>
    </row>
    <row r="10" spans="2:8" x14ac:dyDescent="0.3">
      <c r="C10" s="91" t="s">
        <v>76</v>
      </c>
      <c r="D10" s="92" t="s">
        <v>78</v>
      </c>
      <c r="G10" s="91" t="s">
        <v>76</v>
      </c>
      <c r="H10" s="92" t="s">
        <v>78</v>
      </c>
    </row>
    <row r="11" spans="2:8" x14ac:dyDescent="0.3">
      <c r="C11" s="93" t="s">
        <v>38</v>
      </c>
      <c r="D11" s="94">
        <v>25221</v>
      </c>
      <c r="G11" s="93" t="s">
        <v>38</v>
      </c>
      <c r="H11" s="94">
        <v>6069</v>
      </c>
    </row>
    <row r="12" spans="2:8" x14ac:dyDescent="0.3">
      <c r="C12" s="95" t="s">
        <v>5</v>
      </c>
      <c r="D12" s="94">
        <v>25221</v>
      </c>
      <c r="G12" s="95" t="s">
        <v>41</v>
      </c>
      <c r="H12" s="94">
        <v>6069</v>
      </c>
    </row>
    <row r="13" spans="2:8" x14ac:dyDescent="0.3">
      <c r="C13" s="93" t="s">
        <v>36</v>
      </c>
      <c r="D13" s="94">
        <v>39620</v>
      </c>
      <c r="G13" s="93" t="s">
        <v>36</v>
      </c>
      <c r="H13" s="94">
        <v>5019</v>
      </c>
    </row>
    <row r="14" spans="2:8" x14ac:dyDescent="0.3">
      <c r="C14" s="95" t="s">
        <v>5</v>
      </c>
      <c r="D14" s="94">
        <v>39620</v>
      </c>
      <c r="G14" s="95" t="s">
        <v>8</v>
      </c>
      <c r="H14" s="94">
        <v>5019</v>
      </c>
    </row>
    <row r="15" spans="2:8" x14ac:dyDescent="0.3">
      <c r="C15" s="93" t="s">
        <v>34</v>
      </c>
      <c r="D15" s="94">
        <v>41559</v>
      </c>
      <c r="G15" s="93" t="s">
        <v>34</v>
      </c>
      <c r="H15" s="94">
        <v>5516</v>
      </c>
    </row>
    <row r="16" spans="2:8" x14ac:dyDescent="0.3">
      <c r="C16" s="95" t="s">
        <v>5</v>
      </c>
      <c r="D16" s="94">
        <v>41559</v>
      </c>
      <c r="G16" s="95" t="s">
        <v>8</v>
      </c>
      <c r="H16" s="94">
        <v>5516</v>
      </c>
    </row>
    <row r="17" spans="3:8" x14ac:dyDescent="0.3">
      <c r="C17" s="93" t="s">
        <v>37</v>
      </c>
      <c r="D17" s="94">
        <v>43568</v>
      </c>
      <c r="G17" s="93" t="s">
        <v>37</v>
      </c>
      <c r="H17" s="94">
        <v>7987</v>
      </c>
    </row>
    <row r="18" spans="3:8" x14ac:dyDescent="0.3">
      <c r="C18" s="95" t="s">
        <v>7</v>
      </c>
      <c r="D18" s="94">
        <v>43568</v>
      </c>
      <c r="G18" s="95" t="s">
        <v>10</v>
      </c>
      <c r="H18" s="94">
        <v>7987</v>
      </c>
    </row>
    <row r="19" spans="3:8" x14ac:dyDescent="0.3">
      <c r="C19" s="93" t="s">
        <v>39</v>
      </c>
      <c r="D19" s="94">
        <v>45752</v>
      </c>
      <c r="G19" s="93" t="s">
        <v>39</v>
      </c>
      <c r="H19" s="94">
        <v>3976</v>
      </c>
    </row>
    <row r="20" spans="3:8" x14ac:dyDescent="0.3">
      <c r="C20" s="95" t="s">
        <v>2</v>
      </c>
      <c r="D20" s="94">
        <v>45752</v>
      </c>
      <c r="G20" s="95" t="s">
        <v>41</v>
      </c>
      <c r="H20" s="94">
        <v>3976</v>
      </c>
    </row>
    <row r="21" spans="3:8" x14ac:dyDescent="0.3">
      <c r="C21" s="93" t="s">
        <v>35</v>
      </c>
      <c r="D21" s="94">
        <v>38325</v>
      </c>
      <c r="G21" s="93" t="s">
        <v>35</v>
      </c>
      <c r="H21" s="94">
        <v>2142</v>
      </c>
    </row>
    <row r="22" spans="3:8" x14ac:dyDescent="0.3">
      <c r="C22" s="95" t="s">
        <v>40</v>
      </c>
      <c r="D22" s="94">
        <v>38325</v>
      </c>
      <c r="G22" s="95" t="s">
        <v>2</v>
      </c>
      <c r="H22" s="94">
        <v>2142</v>
      </c>
    </row>
    <row r="23" spans="3:8" x14ac:dyDescent="0.3">
      <c r="C23" s="96" t="s">
        <v>77</v>
      </c>
      <c r="D23" s="97">
        <v>234045</v>
      </c>
      <c r="G23" s="96" t="s">
        <v>77</v>
      </c>
      <c r="H23" s="97">
        <v>30709</v>
      </c>
    </row>
  </sheetData>
  <pageMargins left="0.7" right="0.7" top="0.75" bottom="0.75" header="0.3" footer="0.3"/>
  <pageSetup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136FD-28AC-4C24-83C2-78BAC3BC1F5B}">
  <dimension ref="B2:J30"/>
  <sheetViews>
    <sheetView showGridLines="0" workbookViewId="0">
      <selection activeCell="H30" sqref="H30"/>
    </sheetView>
  </sheetViews>
  <sheetFormatPr defaultRowHeight="14.4" x14ac:dyDescent="0.3"/>
  <cols>
    <col min="1" max="1" width="8.88671875" customWidth="1"/>
    <col min="2" max="2" width="21.44140625" customWidth="1"/>
    <col min="3" max="3" width="15.77734375" bestFit="1" customWidth="1"/>
    <col min="4" max="4" width="13.5546875" customWidth="1"/>
    <col min="5" max="5" width="14.109375" customWidth="1"/>
    <col min="6" max="6" width="12.44140625" bestFit="1" customWidth="1"/>
    <col min="7" max="7" width="20.21875" bestFit="1" customWidth="1"/>
    <col min="8" max="8" width="11.44140625" bestFit="1" customWidth="1"/>
    <col min="9" max="9" width="11.6640625" bestFit="1" customWidth="1"/>
  </cols>
  <sheetData>
    <row r="2" spans="2:10" s="33" customFormat="1" ht="46.2" x14ac:dyDescent="0.85">
      <c r="B2" s="34" t="s">
        <v>99</v>
      </c>
    </row>
    <row r="6" spans="2:10" x14ac:dyDescent="0.3">
      <c r="G6" s="4" t="s">
        <v>140</v>
      </c>
    </row>
    <row r="7" spans="2:10" x14ac:dyDescent="0.3">
      <c r="B7" s="26" t="s">
        <v>76</v>
      </c>
      <c r="C7" s="32" t="s">
        <v>78</v>
      </c>
      <c r="D7" s="32" t="s">
        <v>101</v>
      </c>
      <c r="E7" s="32" t="s">
        <v>103</v>
      </c>
    </row>
    <row r="8" spans="2:10" x14ac:dyDescent="0.3">
      <c r="B8" s="27" t="s">
        <v>14</v>
      </c>
      <c r="C8" s="29">
        <v>43183</v>
      </c>
      <c r="D8" s="29">
        <v>23657.399999999998</v>
      </c>
      <c r="E8" s="36">
        <v>19525.600000000002</v>
      </c>
      <c r="G8" s="45" t="s">
        <v>76</v>
      </c>
      <c r="H8" s="12" t="s">
        <v>103</v>
      </c>
      <c r="J8" s="12"/>
    </row>
    <row r="9" spans="2:10" x14ac:dyDescent="0.3">
      <c r="B9" s="27" t="s">
        <v>30</v>
      </c>
      <c r="C9" s="29">
        <v>66500</v>
      </c>
      <c r="D9" s="29">
        <v>40600.979999999989</v>
      </c>
      <c r="E9" s="36">
        <v>25899.020000000011</v>
      </c>
      <c r="G9" s="46" t="s">
        <v>14</v>
      </c>
      <c r="H9" s="47">
        <v>1644.5</v>
      </c>
    </row>
    <row r="10" spans="2:10" x14ac:dyDescent="0.3">
      <c r="B10" s="27" t="s">
        <v>24</v>
      </c>
      <c r="C10" s="29">
        <v>35378</v>
      </c>
      <c r="D10" s="29">
        <v>5188.6799999999994</v>
      </c>
      <c r="E10" s="36">
        <v>30189.32</v>
      </c>
      <c r="G10" s="46" t="s">
        <v>30</v>
      </c>
      <c r="H10" s="47">
        <v>-1901.3400000000001</v>
      </c>
    </row>
    <row r="11" spans="2:10" x14ac:dyDescent="0.3">
      <c r="B11" s="27" t="s">
        <v>19</v>
      </c>
      <c r="C11" s="29">
        <v>44744</v>
      </c>
      <c r="D11" s="29">
        <v>14943.839999999998</v>
      </c>
      <c r="E11" s="36">
        <v>29800.160000000003</v>
      </c>
      <c r="G11" s="46" t="s">
        <v>24</v>
      </c>
      <c r="H11" s="47">
        <v>7922.67</v>
      </c>
    </row>
    <row r="12" spans="2:10" x14ac:dyDescent="0.3">
      <c r="B12" s="27" t="s">
        <v>22</v>
      </c>
      <c r="C12" s="29">
        <v>66283</v>
      </c>
      <c r="D12" s="29">
        <v>20048.039999999997</v>
      </c>
      <c r="E12" s="36">
        <v>46234.960000000006</v>
      </c>
      <c r="G12" s="46" t="s">
        <v>19</v>
      </c>
      <c r="H12" s="47">
        <v>12542.16</v>
      </c>
    </row>
    <row r="13" spans="2:10" x14ac:dyDescent="0.3">
      <c r="B13" s="27" t="s">
        <v>4</v>
      </c>
      <c r="C13" s="29">
        <v>33551</v>
      </c>
      <c r="D13" s="29">
        <v>18604.080000000002</v>
      </c>
      <c r="E13" s="36">
        <v>14946.919999999998</v>
      </c>
      <c r="G13" s="46" t="s">
        <v>22</v>
      </c>
      <c r="H13" s="47">
        <v>6711.15</v>
      </c>
    </row>
    <row r="14" spans="2:10" x14ac:dyDescent="0.3">
      <c r="B14" s="27" t="s">
        <v>26</v>
      </c>
      <c r="C14" s="29">
        <v>70273</v>
      </c>
      <c r="D14" s="29">
        <v>11995.199999999999</v>
      </c>
      <c r="E14" s="36">
        <v>58277.8</v>
      </c>
      <c r="G14" s="100" t="s">
        <v>4</v>
      </c>
      <c r="H14" s="47">
        <v>-45.240000000000009</v>
      </c>
    </row>
    <row r="15" spans="2:10" x14ac:dyDescent="0.3">
      <c r="B15" s="27" t="s">
        <v>28</v>
      </c>
      <c r="C15" s="29">
        <v>72373</v>
      </c>
      <c r="D15" s="29">
        <v>33288.659999999996</v>
      </c>
      <c r="E15" s="36">
        <v>39084.340000000004</v>
      </c>
      <c r="G15" s="46" t="s">
        <v>26</v>
      </c>
      <c r="H15" s="47">
        <v>19679.8</v>
      </c>
    </row>
    <row r="16" spans="2:10" x14ac:dyDescent="0.3">
      <c r="B16" s="27" t="s">
        <v>32</v>
      </c>
      <c r="C16" s="29">
        <v>71967</v>
      </c>
      <c r="D16" s="29">
        <v>19903.650000000001</v>
      </c>
      <c r="E16" s="36">
        <v>52063.35</v>
      </c>
      <c r="G16" s="46" t="s">
        <v>28</v>
      </c>
      <c r="H16" s="47">
        <v>13222.439999999999</v>
      </c>
    </row>
    <row r="17" spans="2:8" x14ac:dyDescent="0.3">
      <c r="B17" s="27" t="s">
        <v>18</v>
      </c>
      <c r="C17" s="29">
        <v>52150</v>
      </c>
      <c r="D17" s="29">
        <v>11335.44</v>
      </c>
      <c r="E17" s="36">
        <v>40814.559999999998</v>
      </c>
      <c r="G17" s="46" t="s">
        <v>32</v>
      </c>
      <c r="H17" s="47">
        <v>11700.7</v>
      </c>
    </row>
    <row r="18" spans="2:8" x14ac:dyDescent="0.3">
      <c r="B18" s="27" t="s">
        <v>17</v>
      </c>
      <c r="C18" s="29">
        <v>63721</v>
      </c>
      <c r="D18" s="29">
        <v>7249.4099999999989</v>
      </c>
      <c r="E18" s="36">
        <v>56471.590000000004</v>
      </c>
      <c r="G18" s="46" t="s">
        <v>17</v>
      </c>
      <c r="H18" s="47">
        <v>20048.82</v>
      </c>
    </row>
    <row r="19" spans="2:8" x14ac:dyDescent="0.3">
      <c r="B19" s="27" t="s">
        <v>23</v>
      </c>
      <c r="C19" s="29">
        <v>56644</v>
      </c>
      <c r="D19" s="29">
        <v>11759.88</v>
      </c>
      <c r="E19" s="36">
        <v>44884.12</v>
      </c>
      <c r="G19" s="46" t="s">
        <v>23</v>
      </c>
      <c r="H19" s="47">
        <v>15433.08</v>
      </c>
    </row>
    <row r="20" spans="2:8" x14ac:dyDescent="0.3">
      <c r="B20" s="27" t="s">
        <v>29</v>
      </c>
      <c r="C20" s="29">
        <v>58009</v>
      </c>
      <c r="D20" s="29">
        <v>21308.159999999996</v>
      </c>
      <c r="E20" s="36">
        <v>36700.840000000004</v>
      </c>
      <c r="G20" s="46" t="s">
        <v>29</v>
      </c>
      <c r="H20" s="47">
        <v>4962.68</v>
      </c>
    </row>
    <row r="21" spans="2:8" x14ac:dyDescent="0.3">
      <c r="B21" s="27" t="s">
        <v>13</v>
      </c>
      <c r="C21" s="29">
        <v>47271</v>
      </c>
      <c r="D21" s="29">
        <v>17549.73</v>
      </c>
      <c r="E21" s="36">
        <v>29721.27</v>
      </c>
      <c r="G21" s="46" t="s">
        <v>13</v>
      </c>
      <c r="H21" s="47">
        <v>-251.82</v>
      </c>
    </row>
    <row r="22" spans="2:8" x14ac:dyDescent="0.3">
      <c r="B22" s="27" t="s">
        <v>16</v>
      </c>
      <c r="C22" s="29">
        <v>62111</v>
      </c>
      <c r="D22" s="29">
        <v>18933.659999999996</v>
      </c>
      <c r="E22" s="36">
        <v>43177.340000000004</v>
      </c>
      <c r="G22" s="46" t="s">
        <v>16</v>
      </c>
      <c r="H22" s="47">
        <v>216.68000000000029</v>
      </c>
    </row>
    <row r="23" spans="2:8" x14ac:dyDescent="0.3">
      <c r="B23" s="27" t="s">
        <v>20</v>
      </c>
      <c r="C23" s="29">
        <v>54712</v>
      </c>
      <c r="D23" s="29">
        <v>23321.519999999997</v>
      </c>
      <c r="E23" s="36">
        <v>31390.480000000003</v>
      </c>
      <c r="G23" s="46" t="s">
        <v>20</v>
      </c>
      <c r="H23" s="47">
        <v>18379.060000000001</v>
      </c>
    </row>
    <row r="24" spans="2:8" x14ac:dyDescent="0.3">
      <c r="B24" s="27" t="s">
        <v>27</v>
      </c>
      <c r="C24" s="29">
        <v>69461</v>
      </c>
      <c r="D24" s="29">
        <v>49888.86</v>
      </c>
      <c r="E24" s="36">
        <v>19572.14</v>
      </c>
      <c r="G24" s="46" t="s">
        <v>27</v>
      </c>
      <c r="H24" s="47">
        <v>7444.01</v>
      </c>
    </row>
    <row r="25" spans="2:8" x14ac:dyDescent="0.3">
      <c r="B25" s="27" t="s">
        <v>33</v>
      </c>
      <c r="C25" s="29">
        <v>69160</v>
      </c>
      <c r="D25" s="29">
        <v>22933.979999999996</v>
      </c>
      <c r="E25" s="36">
        <v>46226.020000000004</v>
      </c>
      <c r="G25" s="46" t="s">
        <v>33</v>
      </c>
      <c r="H25" s="47">
        <v>9655.6200000000008</v>
      </c>
    </row>
    <row r="26" spans="2:8" x14ac:dyDescent="0.3">
      <c r="B26" s="27" t="s">
        <v>15</v>
      </c>
      <c r="C26" s="29">
        <v>68971</v>
      </c>
      <c r="D26" s="29">
        <v>17982.09</v>
      </c>
      <c r="E26" s="36">
        <v>50988.91</v>
      </c>
      <c r="G26" s="46" t="s">
        <v>15</v>
      </c>
      <c r="H26" s="47">
        <v>9735.7999999999993</v>
      </c>
    </row>
    <row r="27" spans="2:8" x14ac:dyDescent="0.3">
      <c r="B27" s="27" t="s">
        <v>31</v>
      </c>
      <c r="C27" s="29">
        <v>39263</v>
      </c>
      <c r="D27" s="29">
        <v>9744.57</v>
      </c>
      <c r="E27" s="36">
        <v>29518.43</v>
      </c>
      <c r="G27" s="46" t="s">
        <v>31</v>
      </c>
      <c r="H27" s="47">
        <v>1839.48</v>
      </c>
    </row>
    <row r="28" spans="2:8" x14ac:dyDescent="0.3">
      <c r="B28" s="27" t="s">
        <v>21</v>
      </c>
      <c r="C28" s="29">
        <v>37772</v>
      </c>
      <c r="D28" s="29">
        <v>11772</v>
      </c>
      <c r="E28" s="36">
        <v>26000</v>
      </c>
      <c r="G28" s="46" t="s">
        <v>21</v>
      </c>
      <c r="H28" s="47">
        <v>6589</v>
      </c>
    </row>
    <row r="29" spans="2:8" x14ac:dyDescent="0.3">
      <c r="B29" s="27" t="s">
        <v>25</v>
      </c>
      <c r="C29" s="29">
        <v>57372</v>
      </c>
      <c r="D29" s="29">
        <v>27693.900000000005</v>
      </c>
      <c r="E29" s="36">
        <v>29678.099999999995</v>
      </c>
      <c r="G29" s="46" t="s">
        <v>25</v>
      </c>
      <c r="H29" s="47">
        <v>6258.3499999999995</v>
      </c>
    </row>
    <row r="30" spans="2:8" x14ac:dyDescent="0.3">
      <c r="B30" s="27" t="s">
        <v>77</v>
      </c>
      <c r="C30" s="29">
        <v>1240869</v>
      </c>
      <c r="D30" s="29">
        <v>439703.7300000001</v>
      </c>
      <c r="E30" s="36">
        <v>801165.2699999999</v>
      </c>
      <c r="G30" s="46" t="s">
        <v>77</v>
      </c>
      <c r="H30" s="47">
        <v>171787.59999999998</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D0402-B29E-425F-84A0-50BBAEEB745A}">
  <dimension ref="B2:U21"/>
  <sheetViews>
    <sheetView showGridLines="0" zoomScale="98" workbookViewId="0">
      <selection activeCell="E6" sqref="E6"/>
    </sheetView>
  </sheetViews>
  <sheetFormatPr defaultRowHeight="14.4" x14ac:dyDescent="0.3"/>
  <cols>
    <col min="3" max="3" width="5.33203125" customWidth="1"/>
    <col min="4" max="4" width="16.5546875" customWidth="1"/>
    <col min="5" max="5" width="11.5546875" customWidth="1"/>
    <col min="6" max="6" width="9.44140625" bestFit="1" customWidth="1"/>
    <col min="8" max="8" width="4.5546875" customWidth="1"/>
    <col min="9" max="9" width="15.109375" customWidth="1"/>
    <col min="10" max="10" width="13.77734375" customWidth="1"/>
    <col min="21" max="21" width="11.5546875" bestFit="1" customWidth="1"/>
  </cols>
  <sheetData>
    <row r="2" spans="2:21" s="33" customFormat="1" ht="46.2" x14ac:dyDescent="0.85">
      <c r="B2" s="34" t="s">
        <v>104</v>
      </c>
    </row>
    <row r="5" spans="2:21" ht="15" thickBot="1" x14ac:dyDescent="0.35"/>
    <row r="6" spans="2:21" ht="15" thickBot="1" x14ac:dyDescent="0.35">
      <c r="C6" s="59" t="s">
        <v>113</v>
      </c>
      <c r="D6" s="12"/>
      <c r="E6" s="58" t="s">
        <v>35</v>
      </c>
    </row>
    <row r="7" spans="2:21" x14ac:dyDescent="0.3">
      <c r="U7" s="88" t="s">
        <v>105</v>
      </c>
    </row>
    <row r="8" spans="2:21" x14ac:dyDescent="0.3">
      <c r="U8" s="13" t="s">
        <v>34</v>
      </c>
    </row>
    <row r="9" spans="2:21" x14ac:dyDescent="0.3">
      <c r="H9" s="55" t="s">
        <v>112</v>
      </c>
      <c r="I9" s="57"/>
      <c r="J9" s="57"/>
      <c r="K9" s="57"/>
      <c r="L9" s="56"/>
      <c r="U9" s="13" t="s">
        <v>35</v>
      </c>
    </row>
    <row r="10" spans="2:21" x14ac:dyDescent="0.3">
      <c r="U10" s="13" t="s">
        <v>36</v>
      </c>
    </row>
    <row r="11" spans="2:21" x14ac:dyDescent="0.3">
      <c r="I11" s="60" t="s">
        <v>115</v>
      </c>
      <c r="J11" s="61" t="s">
        <v>1</v>
      </c>
      <c r="K11" s="61" t="s">
        <v>43</v>
      </c>
      <c r="L11" s="62" t="s">
        <v>114</v>
      </c>
      <c r="U11" s="13" t="s">
        <v>39</v>
      </c>
    </row>
    <row r="12" spans="2:21" x14ac:dyDescent="0.3">
      <c r="C12" s="55" t="s">
        <v>111</v>
      </c>
      <c r="D12" s="56"/>
      <c r="E12" s="56"/>
      <c r="F12" s="56"/>
      <c r="I12" s="48" t="s">
        <v>2</v>
      </c>
      <c r="J12" s="50">
        <f>SUMIFS(data[Amount], data[Sales Person],I12, data[Geography],E6)</f>
        <v>2142</v>
      </c>
      <c r="K12" s="51">
        <f>SUMIFS(data[Units],data[Sales Person],I12,data[Geography],E6)</f>
        <v>318</v>
      </c>
      <c r="L12" s="53">
        <f t="shared" ref="L12:L21" si="0">IF(J12&gt;12000,1,-1)</f>
        <v>-1</v>
      </c>
      <c r="U12" s="13" t="s">
        <v>38</v>
      </c>
    </row>
    <row r="13" spans="2:21" x14ac:dyDescent="0.3">
      <c r="I13" s="48" t="s">
        <v>8</v>
      </c>
      <c r="J13" s="50">
        <f>SUMIFS(data[Amount], data[Sales Person],I13, data[Geography],E6)</f>
        <v>25151</v>
      </c>
      <c r="K13" s="51">
        <f>SUMIFS(data[Units],data[Sales Person],I13,data[Geography],E6)</f>
        <v>1707</v>
      </c>
      <c r="L13" s="53">
        <f t="shared" si="0"/>
        <v>1</v>
      </c>
      <c r="U13" s="13" t="s">
        <v>37</v>
      </c>
    </row>
    <row r="14" spans="2:21" x14ac:dyDescent="0.3">
      <c r="D14" s="54" t="s">
        <v>106</v>
      </c>
      <c r="E14" s="54"/>
      <c r="F14" s="54">
        <f>COUNTIFS(data[Geography],E6)</f>
        <v>53</v>
      </c>
      <c r="I14" s="48" t="s">
        <v>41</v>
      </c>
      <c r="J14" s="50">
        <f>SUMIFS(data[Amount], data[Sales Person],I14, data[Geography],E6)</f>
        <v>15785</v>
      </c>
      <c r="K14" s="51">
        <f>SUMIFS(data[Units],data[Sales Person],I14,data[Geography],E6)</f>
        <v>699</v>
      </c>
      <c r="L14" s="53">
        <f t="shared" si="0"/>
        <v>1</v>
      </c>
    </row>
    <row r="15" spans="2:21" x14ac:dyDescent="0.3">
      <c r="I15" s="48" t="s">
        <v>7</v>
      </c>
      <c r="J15" s="50">
        <f>SUMIFS(data[Amount], data[Sales Person],I15, data[Geography],E6)</f>
        <v>28546</v>
      </c>
      <c r="K15" s="51">
        <f>SUMIFS(data[Units],data[Sales Person],I15,data[Geography],E6)</f>
        <v>1005</v>
      </c>
      <c r="L15" s="53">
        <f t="shared" si="0"/>
        <v>1</v>
      </c>
    </row>
    <row r="16" spans="2:21" x14ac:dyDescent="0.3">
      <c r="I16" s="48" t="s">
        <v>6</v>
      </c>
      <c r="J16" s="50">
        <f>SUMIFS(data[Amount], data[Sales Person],I16, data[Geography],E6)</f>
        <v>11018</v>
      </c>
      <c r="K16" s="51">
        <f>SUMIFS(data[Units],data[Sales Person],I16,data[Geography],E6)</f>
        <v>972</v>
      </c>
      <c r="L16" s="53">
        <f t="shared" si="0"/>
        <v>-1</v>
      </c>
    </row>
    <row r="17" spans="4:12" x14ac:dyDescent="0.3">
      <c r="D17" s="60" t="s">
        <v>110</v>
      </c>
      <c r="E17" s="61" t="s">
        <v>107</v>
      </c>
      <c r="F17" s="61" t="s">
        <v>47</v>
      </c>
      <c r="I17" s="48" t="s">
        <v>5</v>
      </c>
      <c r="J17" s="50">
        <f>SUMIFS(data[Amount], data[Sales Person],I17, data[Geography],E6)</f>
        <v>28273</v>
      </c>
      <c r="K17" s="51">
        <f>SUMIFS(data[Units],data[Sales Person],I17,data[Geography],E6)</f>
        <v>912</v>
      </c>
      <c r="L17" s="53">
        <f t="shared" si="0"/>
        <v>1</v>
      </c>
    </row>
    <row r="18" spans="4:12" x14ac:dyDescent="0.3">
      <c r="D18" s="48" t="s">
        <v>108</v>
      </c>
      <c r="E18" s="49">
        <f>SUMIFS(data[Amount],data[Geography],E6)</f>
        <v>189434</v>
      </c>
      <c r="F18" s="50">
        <f>E18/F14</f>
        <v>3574.2264150943397</v>
      </c>
      <c r="I18" s="48" t="s">
        <v>3</v>
      </c>
      <c r="J18" s="50">
        <f>SUMIFS(data[Amount], data[Sales Person],I18, data[Geography],E6)</f>
        <v>16492</v>
      </c>
      <c r="K18" s="51">
        <f>SUMIFS(data[Units],data[Sales Person],I18,data[Geography],E6)</f>
        <v>1215</v>
      </c>
      <c r="L18" s="53">
        <f t="shared" si="0"/>
        <v>1</v>
      </c>
    </row>
    <row r="19" spans="4:12" x14ac:dyDescent="0.3">
      <c r="D19" s="48" t="s">
        <v>97</v>
      </c>
      <c r="E19" s="49">
        <f>SUMIFS(data[Cost],data[Geography],E6)</f>
        <v>107216.28</v>
      </c>
      <c r="F19" s="50">
        <f>E19/F14</f>
        <v>2022.9486792452831</v>
      </c>
      <c r="I19" s="48" t="s">
        <v>9</v>
      </c>
      <c r="J19" s="50">
        <f>SUMIFS(data[Amount], data[Sales Person],I19, data[Geography],E6)</f>
        <v>11319</v>
      </c>
      <c r="K19" s="51">
        <f>SUMIFS(data[Units],data[Sales Person],I19,data[Geography],E6)</f>
        <v>693</v>
      </c>
      <c r="L19" s="53">
        <f t="shared" si="0"/>
        <v>-1</v>
      </c>
    </row>
    <row r="20" spans="4:12" x14ac:dyDescent="0.3">
      <c r="D20" s="48" t="s">
        <v>102</v>
      </c>
      <c r="E20" s="49">
        <f>E18-E19</f>
        <v>82217.72</v>
      </c>
      <c r="F20" s="50">
        <f>E20/F14</f>
        <v>1551.2777358490566</v>
      </c>
      <c r="I20" s="48" t="s">
        <v>10</v>
      </c>
      <c r="J20" s="50">
        <f>SUMIFS(data[Amount], data[Sales Person],I20, data[Geography],E6)</f>
        <v>12383</v>
      </c>
      <c r="K20" s="51">
        <f>SUMIFS(data[Units],data[Sales Person],I20,data[Geography],E6)</f>
        <v>804</v>
      </c>
      <c r="L20" s="53">
        <f t="shared" si="0"/>
        <v>1</v>
      </c>
    </row>
    <row r="21" spans="4:12" x14ac:dyDescent="0.3">
      <c r="D21" s="48" t="s">
        <v>109</v>
      </c>
      <c r="E21" s="51">
        <f>SUMIFS(data[Units],data[Geography],E6)</f>
        <v>10158</v>
      </c>
      <c r="F21" s="52">
        <f>E21/F14</f>
        <v>191.66037735849056</v>
      </c>
      <c r="I21" s="48" t="s">
        <v>40</v>
      </c>
      <c r="J21" s="50">
        <f>SUMIFS(data[Amount], data[Sales Person],I21, data[Geography],E6)</f>
        <v>38325</v>
      </c>
      <c r="K21" s="51">
        <f>SUMIFS(data[Units],data[Sales Person],I21,data[Geography],E6)</f>
        <v>1833</v>
      </c>
      <c r="L21" s="53">
        <f t="shared" si="0"/>
        <v>1</v>
      </c>
    </row>
  </sheetData>
  <sortState xmlns:xlrd2="http://schemas.microsoft.com/office/spreadsheetml/2017/richdata2" ref="I12:I21">
    <sortCondition ref="I14:I21"/>
  </sortState>
  <conditionalFormatting sqref="J12:J21">
    <cfRule type="dataBar" priority="1">
      <dataBar>
        <cfvo type="min"/>
        <cfvo type="max"/>
        <color theme="4" tint="0.39997558519241921"/>
      </dataBar>
      <extLst>
        <ext xmlns:x14="http://schemas.microsoft.com/office/spreadsheetml/2009/9/main" uri="{B025F937-C7B1-47D3-B67F-A62EFF666E3E}">
          <x14:id>{DD6E9459-971D-4E4E-8FDC-CFFCA7C9DD94}</x14:id>
        </ext>
      </extLst>
    </cfRule>
  </conditionalFormatting>
  <dataValidations count="1">
    <dataValidation type="list" allowBlank="1" showInputMessage="1" showErrorMessage="1" sqref="E6" xr:uid="{F269F2D7-02A3-4BF0-B422-A2C487F70D5D}">
      <formula1>$U$8:$U$13</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DD6E9459-971D-4E4E-8FDC-CFFCA7C9DD94}">
            <x14:dataBar minLength="0" maxLength="100" gradient="0">
              <x14:cfvo type="autoMin"/>
              <x14:cfvo type="autoMax"/>
              <x14:negativeFillColor rgb="FFFF0000"/>
              <x14:axisColor rgb="FF000000"/>
            </x14:dataBar>
          </x14:cfRule>
          <xm:sqref>J12:J21</xm:sqref>
        </x14:conditionalFormatting>
        <x14:conditionalFormatting xmlns:xm="http://schemas.microsoft.com/office/excel/2006/main">
          <x14:cfRule type="iconSet" priority="3" id="{0D88737F-8F24-4104-953D-83B70EAA617E}">
            <x14:iconSet iconSet="3Symbols" showValue="0" custom="1">
              <x14:cfvo type="percent">
                <xm:f>0</xm:f>
              </x14:cfvo>
              <x14:cfvo type="num">
                <xm:f>0</xm:f>
              </x14:cfvo>
              <x14:cfvo type="num">
                <xm:f>1</xm:f>
              </x14:cfvo>
              <x14:cfIcon iconSet="3Symbols" iconId="0"/>
              <x14:cfIcon iconSet="NoIcons" iconId="0"/>
              <x14:cfIcon iconSet="3Symbols" iconId="2"/>
            </x14:iconSet>
          </x14:cfRule>
          <xm:sqref>L12:L21</xm:sqref>
        </x14:conditionalFormatting>
        <x14:conditionalFormatting xmlns:xm="http://schemas.microsoft.com/office/excel/2006/main">
          <x14:cfRule type="iconSet" priority="2" id="{8FF16657-07A4-450C-8C9F-45753E741BC3}">
            <x14:iconSet iconSet="3Symbols" showValue="0" custom="1">
              <x14:cfvo type="percent">
                <xm:f>0</xm:f>
              </x14:cfvo>
              <x14:cfvo type="num">
                <xm:f>0</xm:f>
              </x14:cfvo>
              <x14:cfvo type="num">
                <xm:f>1</xm:f>
              </x14:cfvo>
              <x14:cfIcon iconSet="3Symbols" iconId="0"/>
              <x14:cfIcon iconSet="NoIcons" iconId="0"/>
              <x14:cfIcon iconSet="3Symbols" iconId="2"/>
            </x14:iconSet>
          </x14:cfRule>
          <xm:sqref>L11</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8031-FA51-41A7-AB88-0350D62A4B0A}">
  <dimension ref="B2:J27"/>
  <sheetViews>
    <sheetView showGridLines="0" tabSelected="1" zoomScaleNormal="100" workbookViewId="0">
      <selection activeCell="F19" sqref="F19"/>
    </sheetView>
  </sheetViews>
  <sheetFormatPr defaultRowHeight="14.4" x14ac:dyDescent="0.3"/>
  <cols>
    <col min="1" max="1" width="6.33203125" customWidth="1"/>
    <col min="3" max="3" width="20.21875" bestFit="1" customWidth="1"/>
    <col min="4" max="4" width="13.6640625" bestFit="1" customWidth="1"/>
    <col min="5" max="5" width="10.77734375" bestFit="1" customWidth="1"/>
    <col min="6" max="6" width="11.44140625" bestFit="1" customWidth="1"/>
    <col min="7" max="7" width="7.44140625" bestFit="1" customWidth="1"/>
    <col min="8" max="8" width="5.44140625" customWidth="1"/>
    <col min="9" max="9" width="4.6640625" customWidth="1"/>
  </cols>
  <sheetData>
    <row r="2" spans="2:10" s="33" customFormat="1" ht="46.2" x14ac:dyDescent="0.85">
      <c r="B2" s="34" t="s">
        <v>116</v>
      </c>
    </row>
    <row r="6" spans="2:10" x14ac:dyDescent="0.3">
      <c r="C6" s="26" t="s">
        <v>76</v>
      </c>
      <c r="D6" s="32" t="s">
        <v>78</v>
      </c>
      <c r="E6" s="64" t="s">
        <v>101</v>
      </c>
      <c r="F6" s="32" t="s">
        <v>103</v>
      </c>
      <c r="G6" s="32" t="s">
        <v>121</v>
      </c>
    </row>
    <row r="7" spans="2:10" x14ac:dyDescent="0.3">
      <c r="C7" s="27" t="s">
        <v>18</v>
      </c>
      <c r="D7" s="15">
        <v>1778</v>
      </c>
      <c r="E7" s="15">
        <v>1746.8999999999999</v>
      </c>
      <c r="F7" s="36">
        <v>31.100000000000136</v>
      </c>
      <c r="G7" s="63">
        <v>1.7491563554555757E-2</v>
      </c>
      <c r="J7" s="4" t="s">
        <v>122</v>
      </c>
    </row>
    <row r="8" spans="2:10" x14ac:dyDescent="0.3">
      <c r="C8" s="27" t="s">
        <v>17</v>
      </c>
      <c r="D8" s="15">
        <v>2408</v>
      </c>
      <c r="E8" s="15">
        <v>27.99</v>
      </c>
      <c r="F8" s="36">
        <v>2380.0100000000002</v>
      </c>
      <c r="G8" s="63">
        <v>0.9883762458471762</v>
      </c>
      <c r="J8" t="s">
        <v>117</v>
      </c>
    </row>
    <row r="9" spans="2:10" x14ac:dyDescent="0.3">
      <c r="C9" s="27" t="s">
        <v>29</v>
      </c>
      <c r="D9" s="15">
        <v>2541</v>
      </c>
      <c r="E9" s="15">
        <v>322.2</v>
      </c>
      <c r="F9" s="36">
        <v>2218.8000000000002</v>
      </c>
      <c r="G9" s="63">
        <v>0.87319952774498233</v>
      </c>
      <c r="J9" t="s">
        <v>118</v>
      </c>
    </row>
    <row r="10" spans="2:10" x14ac:dyDescent="0.3">
      <c r="C10" s="27" t="s">
        <v>27</v>
      </c>
      <c r="D10" s="15">
        <v>3402</v>
      </c>
      <c r="E10" s="15">
        <v>5771.8499999999995</v>
      </c>
      <c r="F10" s="36">
        <v>-2369.8499999999995</v>
      </c>
      <c r="G10" s="63">
        <v>-0.69660493827160475</v>
      </c>
      <c r="J10" t="s">
        <v>119</v>
      </c>
    </row>
    <row r="11" spans="2:10" x14ac:dyDescent="0.3">
      <c r="C11" s="27" t="s">
        <v>16</v>
      </c>
      <c r="D11" s="15">
        <v>3584</v>
      </c>
      <c r="E11" s="15">
        <v>1107.54</v>
      </c>
      <c r="F11" s="36">
        <v>2476.46</v>
      </c>
      <c r="G11" s="63">
        <v>0.69097656250000006</v>
      </c>
      <c r="J11" t="s">
        <v>120</v>
      </c>
    </row>
    <row r="12" spans="2:10" x14ac:dyDescent="0.3">
      <c r="C12" s="27" t="s">
        <v>24</v>
      </c>
      <c r="D12" s="15">
        <v>4760</v>
      </c>
      <c r="E12" s="15">
        <v>551.66999999999996</v>
      </c>
      <c r="F12" s="36">
        <v>4208.33</v>
      </c>
      <c r="G12" s="63">
        <v>0.88410294117647059</v>
      </c>
    </row>
    <row r="13" spans="2:10" x14ac:dyDescent="0.3">
      <c r="C13" s="27" t="s">
        <v>19</v>
      </c>
      <c r="D13" s="15">
        <v>5474</v>
      </c>
      <c r="E13" s="15">
        <v>1283.52</v>
      </c>
      <c r="F13" s="36">
        <v>4190.4799999999996</v>
      </c>
      <c r="G13" s="63">
        <v>0.76552429667519173</v>
      </c>
    </row>
    <row r="14" spans="2:10" x14ac:dyDescent="0.3">
      <c r="C14" s="27" t="s">
        <v>23</v>
      </c>
      <c r="D14" s="15">
        <v>6118</v>
      </c>
      <c r="E14" s="15">
        <v>2511.63</v>
      </c>
      <c r="F14" s="36">
        <v>3606.37</v>
      </c>
      <c r="G14" s="63">
        <v>0.58946878064727037</v>
      </c>
    </row>
    <row r="15" spans="2:10" x14ac:dyDescent="0.3">
      <c r="C15" s="27" t="s">
        <v>14</v>
      </c>
      <c r="D15" s="15">
        <v>6867</v>
      </c>
      <c r="E15" s="15">
        <v>7020</v>
      </c>
      <c r="F15" s="36">
        <v>-153</v>
      </c>
      <c r="G15" s="63">
        <v>-2.2280471821756225E-2</v>
      </c>
    </row>
    <row r="16" spans="2:10" x14ac:dyDescent="0.3">
      <c r="C16" s="27" t="s">
        <v>22</v>
      </c>
      <c r="D16" s="15">
        <v>8288</v>
      </c>
      <c r="E16" s="15">
        <v>2227.56</v>
      </c>
      <c r="F16" s="36">
        <v>6060.4400000000005</v>
      </c>
      <c r="G16" s="63">
        <v>0.73123069498069504</v>
      </c>
    </row>
    <row r="17" spans="3:10" x14ac:dyDescent="0.3">
      <c r="C17" s="27" t="s">
        <v>32</v>
      </c>
      <c r="D17" s="15">
        <v>8827</v>
      </c>
      <c r="E17" s="15">
        <v>2024.1000000000001</v>
      </c>
      <c r="F17" s="36">
        <v>6802.9</v>
      </c>
      <c r="G17" s="63">
        <v>0.77069219440353454</v>
      </c>
    </row>
    <row r="18" spans="3:10" x14ac:dyDescent="0.3">
      <c r="C18" s="27" t="s">
        <v>31</v>
      </c>
      <c r="D18" s="15">
        <v>8995</v>
      </c>
      <c r="E18" s="15">
        <v>2553.3900000000003</v>
      </c>
      <c r="F18" s="36">
        <v>6441.61</v>
      </c>
      <c r="G18" s="63">
        <v>0.71613229571984427</v>
      </c>
    </row>
    <row r="19" spans="3:10" x14ac:dyDescent="0.3">
      <c r="C19" s="27" t="s">
        <v>30</v>
      </c>
      <c r="D19" s="15">
        <v>10129</v>
      </c>
      <c r="E19" s="15">
        <v>4520.88</v>
      </c>
      <c r="F19" s="36">
        <v>5608.12</v>
      </c>
      <c r="G19" s="63">
        <v>0.55366966136834828</v>
      </c>
    </row>
    <row r="20" spans="3:10" x14ac:dyDescent="0.3">
      <c r="C20" s="27" t="s">
        <v>33</v>
      </c>
      <c r="D20" s="15">
        <v>10465</v>
      </c>
      <c r="E20" s="15">
        <v>2746.1399999999994</v>
      </c>
      <c r="F20" s="36">
        <v>7718.8600000000006</v>
      </c>
      <c r="G20" s="63">
        <v>0.7375881509794554</v>
      </c>
    </row>
    <row r="21" spans="3:10" x14ac:dyDescent="0.3">
      <c r="C21" s="27" t="s">
        <v>26</v>
      </c>
      <c r="D21" s="15">
        <v>11886</v>
      </c>
      <c r="E21" s="15">
        <v>2738.3999999999996</v>
      </c>
      <c r="F21" s="36">
        <v>9147.6</v>
      </c>
      <c r="G21" s="63">
        <v>0.76961130742049477</v>
      </c>
    </row>
    <row r="22" spans="3:10" x14ac:dyDescent="0.3">
      <c r="C22" s="27" t="s">
        <v>28</v>
      </c>
      <c r="D22" s="15">
        <v>12257</v>
      </c>
      <c r="E22" s="15">
        <v>4577.5800000000008</v>
      </c>
      <c r="F22" s="36">
        <v>7679.4199999999992</v>
      </c>
      <c r="G22" s="63">
        <v>0.6265334094802969</v>
      </c>
    </row>
    <row r="23" spans="3:10" x14ac:dyDescent="0.3">
      <c r="C23" s="27" t="s">
        <v>21</v>
      </c>
      <c r="D23" s="15">
        <v>13755</v>
      </c>
      <c r="E23" s="15">
        <v>1026</v>
      </c>
      <c r="F23" s="36">
        <v>12729</v>
      </c>
      <c r="G23" s="63">
        <v>0.92540894220283532</v>
      </c>
    </row>
    <row r="24" spans="3:10" x14ac:dyDescent="0.3">
      <c r="C24" s="27" t="s">
        <v>25</v>
      </c>
      <c r="D24" s="15">
        <v>14497</v>
      </c>
      <c r="E24" s="15">
        <v>4378.95</v>
      </c>
      <c r="F24" s="36">
        <v>10118.049999999999</v>
      </c>
      <c r="G24" s="63">
        <v>0.69794095330068284</v>
      </c>
    </row>
    <row r="25" spans="3:10" x14ac:dyDescent="0.3">
      <c r="C25" s="27" t="s">
        <v>13</v>
      </c>
      <c r="D25" s="15">
        <v>16114</v>
      </c>
      <c r="E25" s="15">
        <v>10804.14</v>
      </c>
      <c r="F25" s="36">
        <v>5309.8600000000006</v>
      </c>
      <c r="G25" s="63">
        <v>0.32951843117785778</v>
      </c>
      <c r="J25" s="4" t="s">
        <v>123</v>
      </c>
    </row>
    <row r="26" spans="3:10" x14ac:dyDescent="0.3">
      <c r="C26" s="27" t="s">
        <v>4</v>
      </c>
      <c r="D26" s="15">
        <v>16534</v>
      </c>
      <c r="E26" s="15">
        <v>2744.28</v>
      </c>
      <c r="F26" s="36">
        <v>13789.72</v>
      </c>
      <c r="G26" s="63">
        <v>0.83402201524132091</v>
      </c>
      <c r="J26" t="s">
        <v>124</v>
      </c>
    </row>
    <row r="27" spans="3:10" x14ac:dyDescent="0.3">
      <c r="C27" s="27" t="s">
        <v>77</v>
      </c>
      <c r="D27" s="15">
        <v>168679</v>
      </c>
      <c r="E27" s="15">
        <v>60684.719999999987</v>
      </c>
      <c r="F27" s="36">
        <v>107994.28000000001</v>
      </c>
      <c r="G27" s="63">
        <v>0.64023547685248317</v>
      </c>
      <c r="J27" t="s">
        <v>125</v>
      </c>
    </row>
  </sheetData>
  <conditionalFormatting pivot="1" sqref="G7:G26">
    <cfRule type="colorScale" priority="1">
      <colorScale>
        <cfvo type="min"/>
        <cfvo type="max"/>
        <color rgb="FFFCFCFF"/>
        <color rgb="FF63BE7B"/>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FA6AA0-9097-469B-9B42-67140CC30A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QUES 1</vt:lpstr>
      <vt:lpstr>QUES 2</vt:lpstr>
      <vt:lpstr>QUES 3</vt:lpstr>
      <vt:lpstr>Ques 4</vt:lpstr>
      <vt:lpstr>Ques 5</vt:lpstr>
      <vt:lpstr>QUES 6</vt:lpstr>
      <vt:lpstr>QUES 7</vt:lpstr>
      <vt:lpstr>Ques 8</vt:lpstr>
      <vt:lpstr>Ques 9</vt:lpstr>
      <vt:lpstr>Ques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rajan rajan</cp:lastModifiedBy>
  <dcterms:created xsi:type="dcterms:W3CDTF">2021-03-14T20:21:32Z</dcterms:created>
  <dcterms:modified xsi:type="dcterms:W3CDTF">2026-06-24T19:08:44Z</dcterms:modified>
</cp:coreProperties>
</file>